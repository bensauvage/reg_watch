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  <sheet name="Gantt" sheetId="2" state="visible" r:id="rId4"/>
    <sheet name="Checkpoints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<sst xmlns="http://schemas.openxmlformats.org/spreadsheetml/2006/main" count="285" uniqueCount="168">
  <si>
    <t xml:space="preserve">EU AML Package — prospective timeline to live dates (Level 1 + Level 2/3)</t>
  </si>
  <si>
    <t xml:space="preserve">Prepared 23 Jul 2026 from AMLA/Commission official sources. Best case = user's 3+3+3 model; Realistic = longer Commission stage. Not legal advice.</t>
  </si>
  <si>
    <t xml:space="preserve">LEVEL 1 — agreed texts (in force since 9 Jul 2024)</t>
  </si>
  <si>
    <t xml:space="preserve">AMLR — Regulation (EU) 2024/1624 (single rulebook: CDD, BO, PEPs, obliged entities)</t>
  </si>
  <si>
    <t xml:space="preserve">Applies 10 Jul 2027 (directly applicable; no transposition)</t>
  </si>
  <si>
    <t xml:space="preserve">AMLD6 — Directive (EU) 2024/1640 (supervision, FIUs, BO registers)</t>
  </si>
  <si>
    <t xml:space="preserve">Transposition deadline 10 Jul 2027 (Art. 74: BO registers 10 Jul 2026)</t>
  </si>
  <si>
    <t xml:space="preserve">AMLAR — Regulation (EU) 2024/1620 (AMLA)</t>
  </si>
  <si>
    <t xml:space="preserve">AMLA operational since Jul 2025; direct supervision of ~40 entities from 2028 (selection 2027)</t>
  </si>
  <si>
    <t xml:space="preserve">LEVEL 2/3 — AMLA instruments: consultations and projected live dates</t>
  </si>
  <si>
    <t xml:space="preserve">#</t>
  </si>
  <si>
    <t xml:space="preserve">Type</t>
  </si>
  <si>
    <t xml:space="preserve">Legal basis</t>
  </si>
  <si>
    <t xml:space="preserve">Instrument</t>
  </si>
  <si>
    <t xml:space="preserve">Consult. opens</t>
  </si>
  <si>
    <t xml:space="preserve">Consult. closes</t>
  </si>
  <si>
    <t xml:space="preserve">Status</t>
  </si>
  <si>
    <t xml:space="preserve">AMLA final → EC (best)</t>
  </si>
  <si>
    <t xml:space="preserve">EC adoption (best)</t>
  </si>
  <si>
    <t xml:space="preserve">Scrutiny ends (best)</t>
  </si>
  <si>
    <t xml:space="preserve">LIVE — best case</t>
  </si>
  <si>
    <t xml:space="preserve">AMLA final → EC (real.)</t>
  </si>
  <si>
    <t xml:space="preserve">EC adoption (real.)</t>
  </si>
  <si>
    <t xml:space="preserve">Scrutiny ends (real.)</t>
  </si>
  <si>
    <t xml:space="preserve">LIVE — realistic</t>
  </si>
  <si>
    <t xml:space="preserve">Risk vs 10 Jul 2027</t>
  </si>
  <si>
    <t xml:space="preserve">RTS</t>
  </si>
  <si>
    <t xml:space="preserve">AMLAR 12(7)</t>
  </si>
  <si>
    <t xml:space="preserve">Risk assessment for selection for direct supervision</t>
  </si>
  <si>
    <t xml:space="preserve">—</t>
  </si>
  <si>
    <t xml:space="preserve">Final report 18 Dec 2025 (EBA-consulted)</t>
  </si>
  <si>
    <t xml:space="preserve">AMLD 40(2)</t>
  </si>
  <si>
    <t xml:space="preserve">Inherent &amp; residual risk profile of obliged entities (financial sector)</t>
  </si>
  <si>
    <t xml:space="preserve">ITS</t>
  </si>
  <si>
    <t xml:space="preserve">AMLAR 15(3)</t>
  </si>
  <si>
    <t xml:space="preserve">Cooperation within supervisory system (direct supervision)</t>
  </si>
  <si>
    <t xml:space="preserve">Consultation closed; final expected Q3 2026</t>
  </si>
  <si>
    <t xml:space="preserve">n/a</t>
  </si>
  <si>
    <t xml:space="preserve">AMLD 53(10)</t>
  </si>
  <si>
    <t xml:space="preserve">Pecuniary sanctions, administrative measures, periodic penalty payments</t>
  </si>
  <si>
    <t xml:space="preserve">AMLR 28(1)</t>
  </si>
  <si>
    <t xml:space="preserve">Customer Due Diligence (standard / simplified / enhanced)</t>
  </si>
  <si>
    <t xml:space="preserve">AMLR 19(9)</t>
  </si>
  <si>
    <t xml:space="preserve">Business relationships, occasional &amp; linked transactions, lower thresholds</t>
  </si>
  <si>
    <t xml:space="preserve">AMLR 16(4), 17(3)</t>
  </si>
  <si>
    <t xml:space="preserve">Group-wide minimum requirements; third-country branches/subsidiaries</t>
  </si>
  <si>
    <t xml:space="preserve">Consultation closed; AMLA to submit to EC by 30 Sep 2026</t>
  </si>
  <si>
    <t xml:space="preserve">AMLR 81(1); AMLAR 41(2)</t>
  </si>
  <si>
    <t xml:space="preserve">FIU and AMLA reporting to the EPPO</t>
  </si>
  <si>
    <t xml:space="preserve">Consultation closed (hearing 27 May 2026)</t>
  </si>
  <si>
    <t xml:space="preserve">AMLD 31(2)</t>
  </si>
  <si>
    <t xml:space="preserve">FIU-to-FIU exchange format</t>
  </si>
  <si>
    <t xml:space="preserve">AMLD 46(4)</t>
  </si>
  <si>
    <t xml:space="preserve">Home-host supervisory cooperation</t>
  </si>
  <si>
    <t xml:space="preserve">Consultation closed (hearing 28 May 2026)</t>
  </si>
  <si>
    <t xml:space="preserve">GL</t>
  </si>
  <si>
    <t xml:space="preserve">AMLR 10(4)</t>
  </si>
  <si>
    <t xml:space="preserve">Business-wide risk assessment</t>
  </si>
  <si>
    <t xml:space="preserve">Consultation open — closes 15 Jul 2026</t>
  </si>
  <si>
    <t xml:space="preserve">AMLR 26(5)</t>
  </si>
  <si>
    <t xml:space="preserve">Ongoing monitoring of business relationships (incl. transaction monitoring)</t>
  </si>
  <si>
    <t xml:space="preserve">Consultation open — closes 3 Sep 2026</t>
  </si>
  <si>
    <t xml:space="preserve">AMLR 69(3)</t>
  </si>
  <si>
    <t xml:space="preserve">Format for reporting suspicions &amp; providing transaction records (STR)</t>
  </si>
  <si>
    <t xml:space="preserve">Consultation open — closes 20 Sep 2026</t>
  </si>
  <si>
    <t xml:space="preserve">AMLD 31(3)</t>
  </si>
  <si>
    <t xml:space="preserve">Cross-border information exchange between FIUs</t>
  </si>
  <si>
    <t xml:space="preserve">Consultation open — closes 6 Oct 2026</t>
  </si>
  <si>
    <t xml:space="preserve">AMLAR 11(6)</t>
  </si>
  <si>
    <t xml:space="preserve">Central AML/CFT database</t>
  </si>
  <si>
    <t xml:space="preserve">Consultation planned (SPD: Q2 2026, final Q3 2026)</t>
  </si>
  <si>
    <t xml:space="preserve">AMLR 20(3)</t>
  </si>
  <si>
    <t xml:space="preserve">Risk variables &amp; risk factors (business relationships / occasional transactions)</t>
  </si>
  <si>
    <t xml:space="preserve">Consultation planned (SPD: Q3 2026, final Q4 2026)</t>
  </si>
  <si>
    <t xml:space="preserve">AMLD 41(2)</t>
  </si>
  <si>
    <t xml:space="preserve">Central contact point — criteria &amp; functions</t>
  </si>
  <si>
    <t xml:space="preserve">Risk profile of obliged entities — non-financial sector</t>
  </si>
  <si>
    <t xml:space="preserve">AMLD 53(11)</t>
  </si>
  <si>
    <t xml:space="preserve">Base amounts of pecuniary sanctions (per breach / entity category)</t>
  </si>
  <si>
    <t xml:space="preserve">Consultation planned (SPD: Q2 2026, final Q4 2026)</t>
  </si>
  <si>
    <t xml:space="preserve">AMLD 49(14), 50(13)</t>
  </si>
  <si>
    <t xml:space="preserve">AML/CFT supervisory colleges (financial &amp; non-financial)</t>
  </si>
  <si>
    <t xml:space="preserve">Consultation planned (SPD: Q4 2026, final Q1 2027)</t>
  </si>
  <si>
    <t xml:space="preserve">AMLR 9(4)</t>
  </si>
  <si>
    <t xml:space="preserve">Internal policies, procedures and controls</t>
  </si>
  <si>
    <t xml:space="preserve">Consultation planned (SPD: Q1 2027, final Q2 2027)</t>
  </si>
  <si>
    <t xml:space="preserve">Blue = hardcoded official dates; blue italic = estimated (AMLA SPD planning quarters). Rows 15–21 are the pipeline: consultations not yet opened — dates are indicative. GL 'live' = later of final publication and 10 Jul 2027 (usual application alignment).</t>
  </si>
  <si>
    <t xml:space="preserve">Visual timeline (monthly) — C = consultation, P = Level 2 process (best case), S = potential slippage (best → realistic)</t>
  </si>
  <si>
    <t xml:space="preserve">Column of 10 Jul 2027 (AMLR application) highlighted in dark red.</t>
  </si>
  <si>
    <t xml:space="preserve">Monitoring calendar — 'checking dates' for compliance planning</t>
  </si>
  <si>
    <t xml:space="preserve">Date</t>
  </si>
  <si>
    <t xml:space="preserve">What to check / do</t>
  </si>
  <si>
    <t xml:space="preserve">Where</t>
  </si>
  <si>
    <t xml:space="preserve">Compliance implication (reverse-engineered)</t>
  </si>
  <si>
    <t xml:space="preserve">Consultation closes: GL business-wide risk assessment — last chance to respond</t>
  </si>
  <si>
    <t xml:space="preserve">AMLA Public Consultations</t>
  </si>
  <si>
    <t xml:space="preserve">Your BWRA redesign scope will be fixed by these guidelines; start gap analysis on the draft now.</t>
  </si>
  <si>
    <t xml:space="preserve">Consultation closes: GL ongoing monitoring (incl. transaction monitoring)</t>
  </si>
  <si>
    <t xml:space="preserve">TM system requirements — vendor/budget cycle for 2027 should assume the draft is near-final.</t>
  </si>
  <si>
    <t xml:space="preserve">Consultation closes: ITS on STR format &amp; transaction records</t>
  </si>
  <si>
    <t xml:space="preserve">Single EU STR template: assess whether current reporting systems can generate the AMLA format.</t>
  </si>
  <si>
    <t xml:space="preserve">AMLA stated it will submit group-wide RTS (16(4)/17(3)) to Commission by this date; check other Q3 finals (sanctions, CDD, 19(9), ITS 15(3))</t>
  </si>
  <si>
    <t xml:space="preserve">AMLA Regulatory Instruments page</t>
  </si>
  <si>
    <t xml:space="preserve">Final drafts = de facto specification for build. Freeze design assumptions against the finals.</t>
  </si>
  <si>
    <t xml:space="preserve">Consultation closes: RTS on FIU cross-border information exchange</t>
  </si>
  <si>
    <t xml:space="preserve">Mostly authority-facing, but affects data expectations on STR follow-ups.</t>
  </si>
  <si>
    <t xml:space="preserve">Check Commission adoption of first delegated acts (selection RTS 12(7), risk-profile RTS 40(2) — with EC since Dec 2025)</t>
  </si>
  <si>
    <t xml:space="preserve">EUR-Lex / Comitology &amp; delegated acts registers</t>
  </si>
  <si>
    <t xml:space="preserve">First hard test of the 3+3+3 model: if these two are not adopted ~10 months after submission, recalibrate all 'realistic' dates.</t>
  </si>
  <si>
    <t xml:space="preserve">Check Q4 final reports: EPPO ITS, FIU-to-FIU ITS, home-host RTS, CCP RTS, non-financial 40(2), base-amount GL, risk-factor GL</t>
  </si>
  <si>
    <t xml:space="preserve">AMLA website</t>
  </si>
  <si>
    <t xml:space="preserve">Year-end snapshot for the 2027 compliance budget &amp; programme plan.</t>
  </si>
  <si>
    <t xml:space="preserve">Monthly OJ watch begins: adoption + scrutiny expiry of CDD RTS, 19(9) RTS, sanctions RTS</t>
  </si>
  <si>
    <t xml:space="preserve">Official Journal / EUR-Lex</t>
  </si>
  <si>
    <t xml:space="preserve">Best case has CDD RTS live ~Feb-Mar 2027; realistic ~Jul 2027. Track which scenario is materialising.</t>
  </si>
  <si>
    <t xml:space="preserve">ESCALATION TRIGGER: 3 months before application. Any RTS not yet in OJ will NOT be comfortably live before 10 Jul 2027</t>
  </si>
  <si>
    <t xml:space="preserve">Internal programme review</t>
  </si>
  <si>
    <t xml:space="preserve">Decide formally to implement on the basis of AMLA final drafts, documenting the rationale for supervisors.</t>
  </si>
  <si>
    <t xml:space="preserve">AMLR applies; AMLD6 transposition deadline; EBA guidelines progressively replaced by AMLA instruments</t>
  </si>
  <si>
    <t xml:space="preserve">Full compliance required on Level 1 even where Level 2 is late. Evidence of good-faith implementation on drafts is your fallback.</t>
  </si>
  <si>
    <t xml:space="preserve">Check first AMLA selection round for direct supervision (2027) and colleges RTS finalisation</t>
  </si>
  <si>
    <t xml:space="preserve">If in scope for direct supervision from 2028: prepare for AMLA data collection and fees.</t>
  </si>
  <si>
    <t xml:space="preserve">AMLA direct supervision of selected entities begins (first cycle; full readiness mid-2028)</t>
  </si>
  <si>
    <t xml:space="preserve">Supervisory relationship changes; JST-style engagement for selected entities.</t>
  </si>
  <si>
    <t xml:space="preserve">Assumptions &amp; method — 'reverse engineering' of Level 2 live dates</t>
  </si>
  <si>
    <t xml:space="preserve">Model: consultation close  →  AMLA review &amp; final draft  →  Commission adoption  →  EP/Council non-objection (RTS only)  →  OJ publication + entry into force.</t>
  </si>
  <si>
    <t xml:space="preserve">Stage durations (months) — EDIT THE BLUE CELLS, all dates in 'Timeline' recalculate</t>
  </si>
  <si>
    <t xml:space="preserve">Stage</t>
  </si>
  <si>
    <t xml:space="preserve">Best case</t>
  </si>
  <si>
    <t xml:space="preserve">Realistic</t>
  </si>
  <si>
    <t xml:space="preserve">Comment</t>
  </si>
  <si>
    <t xml:space="preserve">AMLA review of consultation feedback → final draft to Commission</t>
  </si>
  <si>
    <t xml:space="preserve">User's assumption: 3 months. AMLA has itself indicated Q3 2026 finals for Q1/Q2 consultations.</t>
  </si>
  <si>
    <t xml:space="preserve">Commission rewrite / adoption of delegated or implementing act</t>
  </si>
  <si>
    <t xml:space="preserve">User's assumption: 3 months. Historically the Commission often exceeds 3 months (translation, legal revision, inter-service consultation).</t>
  </si>
  <si>
    <t xml:space="preserve">EP / Council scrutiny (non-objection) — applies to RTS (delegated acts) ONLY</t>
  </si>
  <si>
    <t xml:space="preserve">Standard 3 months; extendable by a further 3 at EP/Council request — not included even in 'realistic'. ITS (implementing acts) have NO scrutiny period. Guidelines skip Commission and scrutiny entirely.</t>
  </si>
  <si>
    <t xml:space="preserve">OJ publication + entry into force (20 days)</t>
  </si>
  <si>
    <t xml:space="preserve">20 days</t>
  </si>
  <si>
    <t xml:space="preserve">~1 month</t>
  </si>
  <si>
    <t xml:space="preserve">Best case assumes immediate publication; realistic adds a publication lag.</t>
  </si>
  <si>
    <t xml:space="preserve">Guidelines (Level 3): AMLA finalisation after consultation</t>
  </si>
  <si>
    <t xml:space="preserve">No Commission adoption, no veto. Application date typically aligned with 10 Jul 2027 (comply-or-explain).</t>
  </si>
  <si>
    <t xml:space="preserve">Caveats (read before relying on any date)</t>
  </si>
  <si>
    <t xml:space="preserve">1. The 3+3+3 model is the USER'S best case. It is optimistic on the Commission stage and silent on the possible +3-month scrutiny extension for RTS.</t>
  </si>
  <si>
    <t xml:space="preserve">2. ITS are implementing acts: no EP/Council veto → structurally ~3 months faster than RTS. Guidelines are Level 3: no Commission step at all.</t>
  </si>
  <si>
    <t xml:space="preserve">3. Two RTS (risk-profile AMLD 40(2); selection AMLAR 12(7)) skipped an AMLA consultation (EBA had consulted) — final reports published 18 Dec 2025; modelled from that date.</t>
  </si>
  <si>
    <t xml:space="preserve">4. Consultation close dates marked '(est.)' are inferred from AMLA's SPD 2026-2028 planning quarters, not announced dates.</t>
  </si>
  <si>
    <t xml:space="preserve">5. Industry pressure (e.g. EBF, 7 May 2026, asking for phased implementation of the CDD RTS) may itself shift final calibration and timing.</t>
  </si>
  <si>
    <t xml:space="preserve">6. Instruments whose realistic live date falls AFTER 10 Jul 2027 create a compliance paradox: Level 1 applies without its Level 2 detail. Plan on consultation drafts.</t>
  </si>
  <si>
    <t xml:space="preserve">Sources (accessed 23 Jul 2026)</t>
  </si>
  <si>
    <t xml:space="preserve">AMLA — Regulatory Instruments (overview of mandates &amp; status, last update 3 Jun 2026)</t>
  </si>
  <si>
    <t xml:space="preserve">https://www.amla.europa.eu/policy/regulatory-instruments_en</t>
  </si>
  <si>
    <t xml:space="preserve">AMLA — Public Consultations (opening/closing dates)</t>
  </si>
  <si>
    <t xml:space="preserve">https://www.amla.europa.eu/policy/public-consultations_en</t>
  </si>
  <si>
    <t xml:space="preserve">AMLR — Regulation (EU) 2024/1624 (Level 1, applies 10 Jul 2027)</t>
  </si>
  <si>
    <t xml:space="preserve">https://eur-lex.europa.eu/legal-content/EN/TXT/?uri=CELEX%3A32024R1624</t>
  </si>
  <si>
    <t xml:space="preserve">AMLD6 — Directive (EU) 2024/1640</t>
  </si>
  <si>
    <t xml:space="preserve">https://eur-lex.europa.eu/legal-content/EN/TXT/?uri=CELEX%3A32024L1640</t>
  </si>
  <si>
    <t xml:space="preserve">AMLAR — Regulation (EU) 2024/1620</t>
  </si>
  <si>
    <t xml:space="preserve">https://eur-lex.europa.eu/legal-content/EN/TXT/?uri=CELEX%3A32024R1620</t>
  </si>
  <si>
    <t xml:space="preserve">European Commission — Fighting financial crime</t>
  </si>
  <si>
    <t xml:space="preserve">https://finance.ec.europa.eu/financial-crime_en</t>
  </si>
  <si>
    <t xml:space="preserve">EBF feedback on AMLA draft CDD RTS (7 May 2026)</t>
  </si>
  <si>
    <t xml:space="preserve">https://www.ebf.eu/ebf-media-centre/updates/ebf-feedback-on-amla-draft-regulatory-technical-standard-on-customer-due-diligence-under-article-281-amlr/</t>
  </si>
  <si>
    <t xml:space="preserve">AMLA SPD 2026-2028 (planned consultation quarters)</t>
  </si>
  <si>
    <t xml:space="preserve">https://www.amla.europa.eu/document/download/27549516-d110-4e91-b1ed-d3552b8f9661_en?filename=AMLA%20SPD%202026-2028.pdf</t>
  </si>
  <si>
    <t xml:space="preserve">Legend: blue cells on yellow = editable assumptions / hardcoded inputs. Blue italic dates in Timeline = estimated (not officially announced). All other dates are formulas.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</si>
</sst>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mmm\-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0"/>
      <charset val="1"/>
    </font>
    <font>
      <i val="true"/>
      <sz val="10"/>
      <color rgb="FF7F7F7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10"/>
      <color rgb="FF0000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6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2E75B6"/>
        </patternFill>
      </fill>
    </dxf>
    <dxf>
      <fill>
        <patternFill>
          <bgColor rgb="FFED7D31"/>
        </patternFill>
      </fill>
    </dxf>
    <dxf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amla.europa.eu/policy/regulatory-instruments_en" TargetMode="External"/><Relationship Id="rId2" Type="http://schemas.openxmlformats.org/officeDocument/2006/relationships/hyperlink" Target="https://www.amla.europa.eu/policy/public-consultations_en" TargetMode="External"/><Relationship Id="rId3" Type="http://schemas.openxmlformats.org/officeDocument/2006/relationships/hyperlink" Target="https://eur-lex.europa.eu/legal-content/EN/TXT/?uri=CELEX%3A32024R1624" TargetMode="External"/><Relationship Id="rId4" Type="http://schemas.openxmlformats.org/officeDocument/2006/relationships/hyperlink" Target="https://eur-lex.europa.eu/legal-content/EN/TXT/?uri=CELEX%3A32024L1640" TargetMode="External"/><Relationship Id="rId5" Type="http://schemas.openxmlformats.org/officeDocument/2006/relationships/hyperlink" Target="https://eur-lex.europa.eu/legal-content/EN/TXT/?uri=CELEX%3A32024R1620" TargetMode="External"/><Relationship Id="rId6" Type="http://schemas.openxmlformats.org/officeDocument/2006/relationships/hyperlink" Target="https://finance.ec.europa.eu/financial-crime_en" TargetMode="External"/><Relationship Id="rId7" Type="http://schemas.openxmlformats.org/officeDocument/2006/relationships/hyperlink" Target="https://www.ebf.eu/ebf-media-centre/updates/ebf-feedback-on-amla-draft-regulatory-technical-standard-on-customer-due-diligence-under-article-281-amlr/" TargetMode="External"/><Relationship Id="rId8" Type="http://schemas.openxmlformats.org/officeDocument/2006/relationships/hyperlink" Target="https://www.amla.europa.eu/document/download/27549516-d110-4e91-b1ed-d3552b8f9661_en?filename=AMLA%20SPD%202026-2028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7"/>
    <col collapsed="false" customWidth="true" hidden="false" outlineLevel="0" max="4" min="4" style="0" width="52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15" min="8" style="0" width="13"/>
    <col collapsed="false" customWidth="true" hidden="false" outlineLevel="0" max="16" min="16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H5" s="5" t="s">
        <v>4</v>
      </c>
    </row>
    <row r="6" customFormat="false" ht="15" hidden="false" customHeight="false" outlineLevel="0" collapsed="false">
      <c r="A6" s="4" t="s">
        <v>5</v>
      </c>
      <c r="H6" s="5" t="s">
        <v>6</v>
      </c>
    </row>
    <row r="7" customFormat="false" ht="15" hidden="false" customHeight="false" outlineLevel="0" collapsed="false">
      <c r="A7" s="4" t="s">
        <v>7</v>
      </c>
      <c r="H7" s="5" t="s">
        <v>8</v>
      </c>
    </row>
    <row r="8" customFormat="false" ht="15" hidden="false" customHeight="false" outlineLevel="0" collapsed="false">
      <c r="A8" s="3" t="s">
        <v>9</v>
      </c>
    </row>
    <row r="9" customFormat="false" ht="20.85" hidden="false" customHeight="fals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6" t="s">
        <v>20</v>
      </c>
      <c r="L9" s="6" t="s">
        <v>21</v>
      </c>
      <c r="M9" s="6" t="s">
        <v>22</v>
      </c>
      <c r="N9" s="6" t="s">
        <v>23</v>
      </c>
      <c r="O9" s="6" t="s">
        <v>24</v>
      </c>
      <c r="P9" s="6" t="s">
        <v>25</v>
      </c>
    </row>
    <row r="10" customFormat="false" ht="15" hidden="false" customHeight="false" outlineLevel="0" collapsed="false">
      <c r="A10" s="7" t="n">
        <v>1</v>
      </c>
      <c r="B10" s="7" t="s">
        <v>26</v>
      </c>
      <c r="C10" s="7" t="s">
        <v>27</v>
      </c>
      <c r="D10" s="8" t="s">
        <v>28</v>
      </c>
      <c r="E10" s="9" t="s">
        <v>29</v>
      </c>
      <c r="F10" s="9" t="s">
        <v>29</v>
      </c>
      <c r="G10" s="8" t="s">
        <v>30</v>
      </c>
      <c r="H10" s="10" t="n">
        <v>46009</v>
      </c>
      <c r="I10" s="9" t="n">
        <f aca="false">EDATE($H10,Assumptions!$B$7)</f>
        <v>46099</v>
      </c>
      <c r="J10" s="9" t="n">
        <f aca="false">EDATE($I10,Assumptions!$B$8)</f>
        <v>46191</v>
      </c>
      <c r="K10" s="11" t="n">
        <f aca="false">$J10+20</f>
        <v>46211</v>
      </c>
      <c r="L10" s="10" t="n">
        <v>46009</v>
      </c>
      <c r="M10" s="9" t="n">
        <f aca="false">EDATE($L10,Assumptions!$C$7)</f>
        <v>46191</v>
      </c>
      <c r="N10" s="9" t="n">
        <f aca="false">EDATE($M10,Assumptions!$C$8)</f>
        <v>46283</v>
      </c>
      <c r="O10" s="11" t="n">
        <f aca="false">$N10+30</f>
        <v>46313</v>
      </c>
      <c r="P10" s="8" t="str">
        <f aca="false">IF($O10&gt;DATE(2027,7,10),"LIVE AFTER APPLICATION DATE",IF($O10&gt;DATE(2027,4,10),"Tight (&lt;3m before application)","OK"))</f>
        <v>OK</v>
      </c>
    </row>
    <row r="11" customFormat="false" ht="15" hidden="false" customHeight="false" outlineLevel="0" collapsed="false">
      <c r="A11" s="7" t="n">
        <v>2</v>
      </c>
      <c r="B11" s="7" t="s">
        <v>26</v>
      </c>
      <c r="C11" s="7" t="s">
        <v>31</v>
      </c>
      <c r="D11" s="8" t="s">
        <v>32</v>
      </c>
      <c r="E11" s="9" t="s">
        <v>29</v>
      </c>
      <c r="F11" s="9" t="s">
        <v>29</v>
      </c>
      <c r="G11" s="8" t="s">
        <v>30</v>
      </c>
      <c r="H11" s="10" t="n">
        <v>46009</v>
      </c>
      <c r="I11" s="9" t="n">
        <f aca="false">EDATE($H11,Assumptions!$B$7)</f>
        <v>46099</v>
      </c>
      <c r="J11" s="9" t="n">
        <f aca="false">EDATE($I11,Assumptions!$B$8)</f>
        <v>46191</v>
      </c>
      <c r="K11" s="11" t="n">
        <f aca="false">$J11+20</f>
        <v>46211</v>
      </c>
      <c r="L11" s="10" t="n">
        <v>46009</v>
      </c>
      <c r="M11" s="9" t="n">
        <f aca="false">EDATE($L11,Assumptions!$C$7)</f>
        <v>46191</v>
      </c>
      <c r="N11" s="9" t="n">
        <f aca="false">EDATE($M11,Assumptions!$C$8)</f>
        <v>46283</v>
      </c>
      <c r="O11" s="11" t="n">
        <f aca="false">$N11+30</f>
        <v>46313</v>
      </c>
      <c r="P11" s="8" t="str">
        <f aca="false">IF($O11&gt;DATE(2027,7,10),"LIVE AFTER APPLICATION DATE",IF($O11&gt;DATE(2027,4,10),"Tight (&lt;3m before application)","OK"))</f>
        <v>OK</v>
      </c>
    </row>
    <row r="12" customFormat="false" ht="15" hidden="false" customHeight="false" outlineLevel="0" collapsed="false">
      <c r="A12" s="7" t="n">
        <v>3</v>
      </c>
      <c r="B12" s="7" t="s">
        <v>33</v>
      </c>
      <c r="C12" s="7" t="s">
        <v>34</v>
      </c>
      <c r="D12" s="8" t="s">
        <v>35</v>
      </c>
      <c r="E12" s="9" t="n">
        <v>46007</v>
      </c>
      <c r="F12" s="10" t="n">
        <v>46049</v>
      </c>
      <c r="G12" s="8" t="s">
        <v>36</v>
      </c>
      <c r="H12" s="9" t="n">
        <f aca="false">EDATE($F12,Assumptions!$B$6)</f>
        <v>46139</v>
      </c>
      <c r="I12" s="9" t="n">
        <f aca="false">EDATE($H12,Assumptions!$B$7)</f>
        <v>46230</v>
      </c>
      <c r="J12" s="9" t="s">
        <v>37</v>
      </c>
      <c r="K12" s="11" t="n">
        <f aca="false">$I12+20</f>
        <v>46250</v>
      </c>
      <c r="L12" s="9" t="n">
        <f aca="false">EDATE($F12,Assumptions!$C$6)</f>
        <v>46169</v>
      </c>
      <c r="M12" s="9" t="n">
        <f aca="false">EDATE($L12,Assumptions!$C$7)</f>
        <v>46353</v>
      </c>
      <c r="N12" s="9" t="s">
        <v>37</v>
      </c>
      <c r="O12" s="11" t="n">
        <f aca="false">$M12+30</f>
        <v>46383</v>
      </c>
      <c r="P12" s="8" t="str">
        <f aca="false">IF($O12&gt;DATE(2027,7,10),"LIVE AFTER APPLICATION DATE",IF($O12&gt;DATE(2027,4,10),"Tight (&lt;3m before application)","OK"))</f>
        <v>OK</v>
      </c>
    </row>
    <row r="13" customFormat="false" ht="20.85" hidden="false" customHeight="false" outlineLevel="0" collapsed="false">
      <c r="A13" s="7" t="n">
        <v>4</v>
      </c>
      <c r="B13" s="7" t="s">
        <v>26</v>
      </c>
      <c r="C13" s="7" t="s">
        <v>38</v>
      </c>
      <c r="D13" s="8" t="s">
        <v>39</v>
      </c>
      <c r="E13" s="9" t="n">
        <v>46062</v>
      </c>
      <c r="F13" s="10" t="n">
        <v>46090</v>
      </c>
      <c r="G13" s="8" t="s">
        <v>36</v>
      </c>
      <c r="H13" s="9" t="n">
        <f aca="false">EDATE($F13,Assumptions!$B$6)</f>
        <v>46182</v>
      </c>
      <c r="I13" s="9" t="n">
        <f aca="false">EDATE($H13,Assumptions!$B$7)</f>
        <v>46274</v>
      </c>
      <c r="J13" s="9" t="n">
        <f aca="false">EDATE($I13,Assumptions!$B$8)</f>
        <v>46365</v>
      </c>
      <c r="K13" s="11" t="n">
        <f aca="false">$J13+20</f>
        <v>46385</v>
      </c>
      <c r="L13" s="9" t="n">
        <f aca="false">EDATE($F13,Assumptions!$C$6)</f>
        <v>46212</v>
      </c>
      <c r="M13" s="9" t="n">
        <f aca="false">EDATE($L13,Assumptions!$C$7)</f>
        <v>46396</v>
      </c>
      <c r="N13" s="9" t="n">
        <f aca="false">EDATE($M13,Assumptions!$C$8)</f>
        <v>46486</v>
      </c>
      <c r="O13" s="11" t="n">
        <f aca="false">$N13+30</f>
        <v>46516</v>
      </c>
      <c r="P13" s="8" t="str">
        <f aca="false">IF($O13&gt;DATE(2027,7,10),"LIVE AFTER APPLICATION DATE",IF($O13&gt;DATE(2027,4,10),"Tight (&lt;3m before application)","OK"))</f>
        <v>Tight (&lt;3m before application)</v>
      </c>
    </row>
    <row r="14" customFormat="false" ht="20.85" hidden="false" customHeight="false" outlineLevel="0" collapsed="false">
      <c r="A14" s="7" t="n">
        <v>5</v>
      </c>
      <c r="B14" s="7" t="s">
        <v>26</v>
      </c>
      <c r="C14" s="7" t="s">
        <v>40</v>
      </c>
      <c r="D14" s="8" t="s">
        <v>41</v>
      </c>
      <c r="E14" s="9" t="n">
        <v>46062</v>
      </c>
      <c r="F14" s="10" t="n">
        <v>46150</v>
      </c>
      <c r="G14" s="8" t="s">
        <v>36</v>
      </c>
      <c r="H14" s="9" t="n">
        <f aca="false">EDATE($F14,Assumptions!$B$6)</f>
        <v>46242</v>
      </c>
      <c r="I14" s="9" t="n">
        <f aca="false">EDATE($H14,Assumptions!$B$7)</f>
        <v>46334</v>
      </c>
      <c r="J14" s="9" t="n">
        <f aca="false">EDATE($I14,Assumptions!$B$8)</f>
        <v>46426</v>
      </c>
      <c r="K14" s="11" t="n">
        <f aca="false">$J14+20</f>
        <v>46446</v>
      </c>
      <c r="L14" s="9" t="n">
        <f aca="false">EDATE($F14,Assumptions!$C$6)</f>
        <v>46273</v>
      </c>
      <c r="M14" s="9" t="n">
        <f aca="false">EDATE($L14,Assumptions!$C$7)</f>
        <v>46454</v>
      </c>
      <c r="N14" s="9" t="n">
        <f aca="false">EDATE($M14,Assumptions!$C$8)</f>
        <v>46546</v>
      </c>
      <c r="O14" s="11" t="n">
        <f aca="false">$N14+30</f>
        <v>46576</v>
      </c>
      <c r="P14" s="8" t="str">
        <f aca="false">IF($O14&gt;DATE(2027,7,10),"LIVE AFTER APPLICATION DATE",IF($O14&gt;DATE(2027,4,10),"Tight (&lt;3m before application)","OK"))</f>
        <v>Tight (&lt;3m before application)</v>
      </c>
    </row>
    <row r="15" customFormat="false" ht="20.85" hidden="false" customHeight="false" outlineLevel="0" collapsed="false">
      <c r="A15" s="7" t="n">
        <v>6</v>
      </c>
      <c r="B15" s="7" t="s">
        <v>26</v>
      </c>
      <c r="C15" s="7" t="s">
        <v>42</v>
      </c>
      <c r="D15" s="8" t="s">
        <v>43</v>
      </c>
      <c r="E15" s="9" t="n">
        <v>46062</v>
      </c>
      <c r="F15" s="10" t="n">
        <v>46150</v>
      </c>
      <c r="G15" s="8" t="s">
        <v>36</v>
      </c>
      <c r="H15" s="9" t="n">
        <f aca="false">EDATE($F15,Assumptions!$B$6)</f>
        <v>46242</v>
      </c>
      <c r="I15" s="9" t="n">
        <f aca="false">EDATE($H15,Assumptions!$B$7)</f>
        <v>46334</v>
      </c>
      <c r="J15" s="9" t="n">
        <f aca="false">EDATE($I15,Assumptions!$B$8)</f>
        <v>46426</v>
      </c>
      <c r="K15" s="11" t="n">
        <f aca="false">$J15+20</f>
        <v>46446</v>
      </c>
      <c r="L15" s="9" t="n">
        <f aca="false">EDATE($F15,Assumptions!$C$6)</f>
        <v>46273</v>
      </c>
      <c r="M15" s="9" t="n">
        <f aca="false">EDATE($L15,Assumptions!$C$7)</f>
        <v>46454</v>
      </c>
      <c r="N15" s="9" t="n">
        <f aca="false">EDATE($M15,Assumptions!$C$8)</f>
        <v>46546</v>
      </c>
      <c r="O15" s="11" t="n">
        <f aca="false">$N15+30</f>
        <v>46576</v>
      </c>
      <c r="P15" s="8" t="str">
        <f aca="false">IF($O15&gt;DATE(2027,7,10),"LIVE AFTER APPLICATION DATE",IF($O15&gt;DATE(2027,4,10),"Tight (&lt;3m before application)","OK"))</f>
        <v>Tight (&lt;3m before application)</v>
      </c>
    </row>
    <row r="16" customFormat="false" ht="20.85" hidden="false" customHeight="false" outlineLevel="0" collapsed="false">
      <c r="A16" s="7" t="n">
        <v>7</v>
      </c>
      <c r="B16" s="7" t="s">
        <v>26</v>
      </c>
      <c r="C16" s="7" t="s">
        <v>44</v>
      </c>
      <c r="D16" s="8" t="s">
        <v>45</v>
      </c>
      <c r="E16" s="9" t="n">
        <v>46128</v>
      </c>
      <c r="F16" s="10" t="n">
        <v>46188</v>
      </c>
      <c r="G16" s="8" t="s">
        <v>46</v>
      </c>
      <c r="H16" s="9" t="n">
        <f aca="false">EDATE($F16,Assumptions!$B$6)</f>
        <v>46280</v>
      </c>
      <c r="I16" s="9" t="n">
        <f aca="false">EDATE($H16,Assumptions!$B$7)</f>
        <v>46371</v>
      </c>
      <c r="J16" s="9" t="n">
        <f aca="false">EDATE($I16,Assumptions!$B$8)</f>
        <v>46461</v>
      </c>
      <c r="K16" s="11" t="n">
        <f aca="false">$J16+20</f>
        <v>46481</v>
      </c>
      <c r="L16" s="9" t="n">
        <f aca="false">EDATE($F16,Assumptions!$C$6)</f>
        <v>46310</v>
      </c>
      <c r="M16" s="9" t="n">
        <f aca="false">EDATE($L16,Assumptions!$C$7)</f>
        <v>46492</v>
      </c>
      <c r="N16" s="9" t="n">
        <f aca="false">EDATE($M16,Assumptions!$C$8)</f>
        <v>46583</v>
      </c>
      <c r="O16" s="11" t="n">
        <f aca="false">$N16+30</f>
        <v>46613</v>
      </c>
      <c r="P16" s="8" t="str">
        <f aca="false">IF($O16&gt;DATE(2027,7,10),"LIVE AFTER APPLICATION DATE",IF($O16&gt;DATE(2027,4,10),"Tight (&lt;3m before application)","OK"))</f>
        <v>LIVE AFTER APPLICATION DATE</v>
      </c>
    </row>
    <row r="17" customFormat="false" ht="20.85" hidden="false" customHeight="false" outlineLevel="0" collapsed="false">
      <c r="A17" s="7" t="n">
        <v>8</v>
      </c>
      <c r="B17" s="7" t="s">
        <v>33</v>
      </c>
      <c r="C17" s="7" t="s">
        <v>47</v>
      </c>
      <c r="D17" s="8" t="s">
        <v>48</v>
      </c>
      <c r="E17" s="9" t="s">
        <v>29</v>
      </c>
      <c r="F17" s="12" t="n">
        <v>46173</v>
      </c>
      <c r="G17" s="8" t="s">
        <v>49</v>
      </c>
      <c r="H17" s="9" t="n">
        <f aca="false">EDATE($F17,Assumptions!$B$6)</f>
        <v>46265</v>
      </c>
      <c r="I17" s="9" t="n">
        <f aca="false">EDATE($H17,Assumptions!$B$7)</f>
        <v>46356</v>
      </c>
      <c r="J17" s="9" t="s">
        <v>37</v>
      </c>
      <c r="K17" s="11" t="n">
        <f aca="false">$I17+20</f>
        <v>46376</v>
      </c>
      <c r="L17" s="9" t="n">
        <f aca="false">EDATE($F17,Assumptions!$C$6)</f>
        <v>46295</v>
      </c>
      <c r="M17" s="9" t="n">
        <f aca="false">EDATE($L17,Assumptions!$C$7)</f>
        <v>46476</v>
      </c>
      <c r="N17" s="9" t="s">
        <v>37</v>
      </c>
      <c r="O17" s="11" t="n">
        <f aca="false">$M17+30</f>
        <v>46506</v>
      </c>
      <c r="P17" s="8" t="str">
        <f aca="false">IF($O17&gt;DATE(2027,7,10),"LIVE AFTER APPLICATION DATE",IF($O17&gt;DATE(2027,4,10),"Tight (&lt;3m before application)","OK"))</f>
        <v>Tight (&lt;3m before application)</v>
      </c>
    </row>
    <row r="18" customFormat="false" ht="20.85" hidden="false" customHeight="false" outlineLevel="0" collapsed="false">
      <c r="A18" s="7" t="n">
        <v>9</v>
      </c>
      <c r="B18" s="7" t="s">
        <v>33</v>
      </c>
      <c r="C18" s="7" t="s">
        <v>50</v>
      </c>
      <c r="D18" s="8" t="s">
        <v>51</v>
      </c>
      <c r="E18" s="9" t="s">
        <v>29</v>
      </c>
      <c r="F18" s="12" t="n">
        <v>46173</v>
      </c>
      <c r="G18" s="8" t="s">
        <v>49</v>
      </c>
      <c r="H18" s="9" t="n">
        <f aca="false">EDATE($F18,Assumptions!$B$6)</f>
        <v>46265</v>
      </c>
      <c r="I18" s="9" t="n">
        <f aca="false">EDATE($H18,Assumptions!$B$7)</f>
        <v>46356</v>
      </c>
      <c r="J18" s="9" t="s">
        <v>37</v>
      </c>
      <c r="K18" s="11" t="n">
        <f aca="false">$I18+20</f>
        <v>46376</v>
      </c>
      <c r="L18" s="9" t="n">
        <f aca="false">EDATE($F18,Assumptions!$C$6)</f>
        <v>46295</v>
      </c>
      <c r="M18" s="9" t="n">
        <f aca="false">EDATE($L18,Assumptions!$C$7)</f>
        <v>46476</v>
      </c>
      <c r="N18" s="9" t="s">
        <v>37</v>
      </c>
      <c r="O18" s="11" t="n">
        <f aca="false">$M18+30</f>
        <v>46506</v>
      </c>
      <c r="P18" s="8" t="str">
        <f aca="false">IF($O18&gt;DATE(2027,7,10),"LIVE AFTER APPLICATION DATE",IF($O18&gt;DATE(2027,4,10),"Tight (&lt;3m before application)","OK"))</f>
        <v>Tight (&lt;3m before application)</v>
      </c>
    </row>
    <row r="19" customFormat="false" ht="20.85" hidden="false" customHeight="false" outlineLevel="0" collapsed="false">
      <c r="A19" s="7" t="n">
        <v>10</v>
      </c>
      <c r="B19" s="7" t="s">
        <v>26</v>
      </c>
      <c r="C19" s="7" t="s">
        <v>52</v>
      </c>
      <c r="D19" s="8" t="s">
        <v>53</v>
      </c>
      <c r="E19" s="9" t="s">
        <v>29</v>
      </c>
      <c r="F19" s="12" t="n">
        <v>46173</v>
      </c>
      <c r="G19" s="8" t="s">
        <v>54</v>
      </c>
      <c r="H19" s="9" t="n">
        <f aca="false">EDATE($F19,Assumptions!$B$6)</f>
        <v>46265</v>
      </c>
      <c r="I19" s="9" t="n">
        <f aca="false">EDATE($H19,Assumptions!$B$7)</f>
        <v>46356</v>
      </c>
      <c r="J19" s="9" t="n">
        <f aca="false">EDATE($I19,Assumptions!$B$8)</f>
        <v>46446</v>
      </c>
      <c r="K19" s="11" t="n">
        <f aca="false">$J19+20</f>
        <v>46466</v>
      </c>
      <c r="L19" s="9" t="n">
        <f aca="false">EDATE($F19,Assumptions!$C$6)</f>
        <v>46295</v>
      </c>
      <c r="M19" s="9" t="n">
        <f aca="false">EDATE($L19,Assumptions!$C$7)</f>
        <v>46476</v>
      </c>
      <c r="N19" s="9" t="n">
        <f aca="false">EDATE($M19,Assumptions!$C$8)</f>
        <v>46568</v>
      </c>
      <c r="O19" s="11" t="n">
        <f aca="false">$N19+30</f>
        <v>46598</v>
      </c>
      <c r="P19" s="8" t="str">
        <f aca="false">IF($O19&gt;DATE(2027,7,10),"LIVE AFTER APPLICATION DATE",IF($O19&gt;DATE(2027,4,10),"Tight (&lt;3m before application)","OK"))</f>
        <v>LIVE AFTER APPLICATION DATE</v>
      </c>
    </row>
    <row r="20" customFormat="false" ht="20.85" hidden="false" customHeight="false" outlineLevel="0" collapsed="false">
      <c r="A20" s="7" t="n">
        <v>11</v>
      </c>
      <c r="B20" s="7" t="s">
        <v>55</v>
      </c>
      <c r="C20" s="7" t="s">
        <v>56</v>
      </c>
      <c r="D20" s="8" t="s">
        <v>57</v>
      </c>
      <c r="E20" s="9" t="n">
        <v>46128</v>
      </c>
      <c r="F20" s="10" t="n">
        <v>46218</v>
      </c>
      <c r="G20" s="8" t="s">
        <v>58</v>
      </c>
      <c r="H20" s="9" t="n">
        <f aca="false">EDATE($F20,Assumptions!$B$10)</f>
        <v>46310</v>
      </c>
      <c r="I20" s="9" t="s">
        <v>37</v>
      </c>
      <c r="J20" s="9" t="s">
        <v>37</v>
      </c>
      <c r="K20" s="11" t="n">
        <f aca="false">MAX($H20,DATE(2027,7,10))</f>
        <v>46578</v>
      </c>
      <c r="L20" s="9" t="n">
        <f aca="false">EDATE($F20,Assumptions!$C$10)</f>
        <v>46402</v>
      </c>
      <c r="M20" s="9" t="s">
        <v>37</v>
      </c>
      <c r="N20" s="9" t="s">
        <v>37</v>
      </c>
      <c r="O20" s="11" t="n">
        <f aca="false">MAX($L20,DATE(2027,7,10))</f>
        <v>46578</v>
      </c>
      <c r="P20" s="8" t="str">
        <f aca="false">IF($O20&gt;DATE(2027,7,10),"LIVE AFTER APPLICATION DATE",IF($O20&gt;DATE(2027,4,10),"Tight (&lt;3m before application)","OK"))</f>
        <v>Tight (&lt;3m before application)</v>
      </c>
    </row>
    <row r="21" customFormat="false" ht="20.85" hidden="false" customHeight="false" outlineLevel="0" collapsed="false">
      <c r="A21" s="7" t="n">
        <v>12</v>
      </c>
      <c r="B21" s="7" t="s">
        <v>55</v>
      </c>
      <c r="C21" s="7" t="s">
        <v>59</v>
      </c>
      <c r="D21" s="8" t="s">
        <v>60</v>
      </c>
      <c r="E21" s="9" t="n">
        <v>46176</v>
      </c>
      <c r="F21" s="10" t="n">
        <v>46268</v>
      </c>
      <c r="G21" s="8" t="s">
        <v>61</v>
      </c>
      <c r="H21" s="9" t="n">
        <f aca="false">EDATE($F21,Assumptions!$B$10)</f>
        <v>46359</v>
      </c>
      <c r="I21" s="9" t="s">
        <v>37</v>
      </c>
      <c r="J21" s="9" t="s">
        <v>37</v>
      </c>
      <c r="K21" s="11" t="n">
        <f aca="false">MAX($H21,DATE(2027,7,10))</f>
        <v>46578</v>
      </c>
      <c r="L21" s="9" t="n">
        <f aca="false">EDATE($F21,Assumptions!$C$10)</f>
        <v>46449</v>
      </c>
      <c r="M21" s="9" t="s">
        <v>37</v>
      </c>
      <c r="N21" s="9" t="s">
        <v>37</v>
      </c>
      <c r="O21" s="11" t="n">
        <f aca="false">MAX($L21,DATE(2027,7,10))</f>
        <v>46578</v>
      </c>
      <c r="P21" s="8" t="str">
        <f aca="false">IF($O21&gt;DATE(2027,7,10),"LIVE AFTER APPLICATION DATE",IF($O21&gt;DATE(2027,4,10),"Tight (&lt;3m before application)","OK"))</f>
        <v>Tight (&lt;3m before application)</v>
      </c>
    </row>
    <row r="22" customFormat="false" ht="20.85" hidden="false" customHeight="false" outlineLevel="0" collapsed="false">
      <c r="A22" s="7" t="n">
        <v>13</v>
      </c>
      <c r="B22" s="7" t="s">
        <v>33</v>
      </c>
      <c r="C22" s="7" t="s">
        <v>62</v>
      </c>
      <c r="D22" s="8" t="s">
        <v>63</v>
      </c>
      <c r="E22" s="9" t="n">
        <v>46205</v>
      </c>
      <c r="F22" s="10" t="n">
        <v>46285</v>
      </c>
      <c r="G22" s="8" t="s">
        <v>64</v>
      </c>
      <c r="H22" s="9" t="n">
        <f aca="false">EDATE($F22,Assumptions!$B$6)</f>
        <v>46376</v>
      </c>
      <c r="I22" s="9" t="n">
        <f aca="false">EDATE($H22,Assumptions!$B$7)</f>
        <v>46466</v>
      </c>
      <c r="J22" s="9" t="s">
        <v>37</v>
      </c>
      <c r="K22" s="11" t="n">
        <f aca="false">$I22+20</f>
        <v>46486</v>
      </c>
      <c r="L22" s="9" t="n">
        <f aca="false">EDATE($F22,Assumptions!$C$6)</f>
        <v>46407</v>
      </c>
      <c r="M22" s="9" t="n">
        <f aca="false">EDATE($L22,Assumptions!$C$7)</f>
        <v>46588</v>
      </c>
      <c r="N22" s="9" t="s">
        <v>37</v>
      </c>
      <c r="O22" s="11" t="n">
        <f aca="false">$M22+30</f>
        <v>46618</v>
      </c>
      <c r="P22" s="8" t="str">
        <f aca="false">IF($O22&gt;DATE(2027,7,10),"LIVE AFTER APPLICATION DATE",IF($O22&gt;DATE(2027,4,10),"Tight (&lt;3m before application)","OK"))</f>
        <v>LIVE AFTER APPLICATION DATE</v>
      </c>
    </row>
    <row r="23" customFormat="false" ht="20.85" hidden="false" customHeight="false" outlineLevel="0" collapsed="false">
      <c r="A23" s="7" t="n">
        <v>14</v>
      </c>
      <c r="B23" s="7" t="s">
        <v>26</v>
      </c>
      <c r="C23" s="7" t="s">
        <v>65</v>
      </c>
      <c r="D23" s="8" t="s">
        <v>66</v>
      </c>
      <c r="E23" s="9" t="n">
        <v>46209</v>
      </c>
      <c r="F23" s="10" t="n">
        <v>46301</v>
      </c>
      <c r="G23" s="8" t="s">
        <v>67</v>
      </c>
      <c r="H23" s="9" t="n">
        <f aca="false">EDATE($F23,Assumptions!$B$6)</f>
        <v>46393</v>
      </c>
      <c r="I23" s="9" t="n">
        <f aca="false">EDATE($H23,Assumptions!$B$7)</f>
        <v>46483</v>
      </c>
      <c r="J23" s="9" t="n">
        <f aca="false">EDATE($I23,Assumptions!$B$8)</f>
        <v>46574</v>
      </c>
      <c r="K23" s="11" t="n">
        <f aca="false">$J23+20</f>
        <v>46594</v>
      </c>
      <c r="L23" s="9" t="n">
        <f aca="false">EDATE($F23,Assumptions!$C$6)</f>
        <v>46424</v>
      </c>
      <c r="M23" s="9" t="n">
        <f aca="false">EDATE($L23,Assumptions!$C$7)</f>
        <v>46605</v>
      </c>
      <c r="N23" s="9" t="n">
        <f aca="false">EDATE($M23,Assumptions!$C$8)</f>
        <v>46697</v>
      </c>
      <c r="O23" s="11" t="n">
        <f aca="false">$N23+30</f>
        <v>46727</v>
      </c>
      <c r="P23" s="8" t="str">
        <f aca="false">IF($O23&gt;DATE(2027,7,10),"LIVE AFTER APPLICATION DATE",IF($O23&gt;DATE(2027,4,10),"Tight (&lt;3m before application)","OK"))</f>
        <v>LIVE AFTER APPLICATION DATE</v>
      </c>
    </row>
    <row r="24" customFormat="false" ht="20.85" hidden="false" customHeight="false" outlineLevel="0" collapsed="false">
      <c r="A24" s="7" t="n">
        <v>15</v>
      </c>
      <c r="B24" s="7" t="s">
        <v>26</v>
      </c>
      <c r="C24" s="7" t="s">
        <v>68</v>
      </c>
      <c r="D24" s="8" t="s">
        <v>69</v>
      </c>
      <c r="E24" s="9" t="s">
        <v>29</v>
      </c>
      <c r="F24" s="12" t="n">
        <v>46280</v>
      </c>
      <c r="G24" s="8" t="s">
        <v>70</v>
      </c>
      <c r="H24" s="9" t="n">
        <f aca="false">EDATE($F24,Assumptions!$B$6)</f>
        <v>46371</v>
      </c>
      <c r="I24" s="9" t="n">
        <f aca="false">EDATE($H24,Assumptions!$B$7)</f>
        <v>46461</v>
      </c>
      <c r="J24" s="9" t="n">
        <f aca="false">EDATE($I24,Assumptions!$B$8)</f>
        <v>46553</v>
      </c>
      <c r="K24" s="11" t="n">
        <f aca="false">$J24+20</f>
        <v>46573</v>
      </c>
      <c r="L24" s="9" t="n">
        <f aca="false">EDATE($F24,Assumptions!$C$6)</f>
        <v>46402</v>
      </c>
      <c r="M24" s="9" t="n">
        <f aca="false">EDATE($L24,Assumptions!$C$7)</f>
        <v>46583</v>
      </c>
      <c r="N24" s="9" t="n">
        <f aca="false">EDATE($M24,Assumptions!$C$8)</f>
        <v>46675</v>
      </c>
      <c r="O24" s="11" t="n">
        <f aca="false">$N24+30</f>
        <v>46705</v>
      </c>
      <c r="P24" s="8" t="str">
        <f aca="false">IF($O24&gt;DATE(2027,7,10),"LIVE AFTER APPLICATION DATE",IF($O24&gt;DATE(2027,4,10),"Tight (&lt;3m before application)","OK"))</f>
        <v>LIVE AFTER APPLICATION DATE</v>
      </c>
    </row>
    <row r="25" customFormat="false" ht="20.85" hidden="false" customHeight="false" outlineLevel="0" collapsed="false">
      <c r="A25" s="7" t="n">
        <v>16</v>
      </c>
      <c r="B25" s="7" t="s">
        <v>55</v>
      </c>
      <c r="C25" s="7" t="s">
        <v>71</v>
      </c>
      <c r="D25" s="8" t="s">
        <v>72</v>
      </c>
      <c r="E25" s="9" t="s">
        <v>29</v>
      </c>
      <c r="F25" s="12" t="n">
        <v>46371</v>
      </c>
      <c r="G25" s="8" t="s">
        <v>73</v>
      </c>
      <c r="H25" s="9" t="n">
        <f aca="false">EDATE($F25,Assumptions!$B$10)</f>
        <v>46461</v>
      </c>
      <c r="I25" s="9" t="s">
        <v>37</v>
      </c>
      <c r="J25" s="9" t="s">
        <v>37</v>
      </c>
      <c r="K25" s="11" t="n">
        <f aca="false">MAX($H25,DATE(2027,7,10))</f>
        <v>46578</v>
      </c>
      <c r="L25" s="9" t="n">
        <f aca="false">EDATE($F25,Assumptions!$C$10)</f>
        <v>46553</v>
      </c>
      <c r="M25" s="9" t="s">
        <v>37</v>
      </c>
      <c r="N25" s="9" t="s">
        <v>37</v>
      </c>
      <c r="O25" s="11" t="n">
        <f aca="false">MAX($L25,DATE(2027,7,10))</f>
        <v>46578</v>
      </c>
      <c r="P25" s="8" t="str">
        <f aca="false">IF($O25&gt;DATE(2027,7,10),"LIVE AFTER APPLICATION DATE",IF($O25&gt;DATE(2027,4,10),"Tight (&lt;3m before application)","OK"))</f>
        <v>Tight (&lt;3m before application)</v>
      </c>
    </row>
    <row r="26" customFormat="false" ht="20.85" hidden="false" customHeight="false" outlineLevel="0" collapsed="false">
      <c r="A26" s="7" t="n">
        <v>17</v>
      </c>
      <c r="B26" s="7" t="s">
        <v>26</v>
      </c>
      <c r="C26" s="7" t="s">
        <v>74</v>
      </c>
      <c r="D26" s="8" t="s">
        <v>75</v>
      </c>
      <c r="E26" s="9" t="s">
        <v>29</v>
      </c>
      <c r="F26" s="12" t="n">
        <v>46371</v>
      </c>
      <c r="G26" s="8" t="s">
        <v>73</v>
      </c>
      <c r="H26" s="9" t="n">
        <f aca="false">EDATE($F26,Assumptions!$B$6)</f>
        <v>46461</v>
      </c>
      <c r="I26" s="9" t="n">
        <f aca="false">EDATE($H26,Assumptions!$B$7)</f>
        <v>46553</v>
      </c>
      <c r="J26" s="9" t="n">
        <f aca="false">EDATE($I26,Assumptions!$B$8)</f>
        <v>46645</v>
      </c>
      <c r="K26" s="11" t="n">
        <f aca="false">$J26+20</f>
        <v>46665</v>
      </c>
      <c r="L26" s="9" t="n">
        <f aca="false">EDATE($F26,Assumptions!$C$6)</f>
        <v>46492</v>
      </c>
      <c r="M26" s="9" t="n">
        <f aca="false">EDATE($L26,Assumptions!$C$7)</f>
        <v>46675</v>
      </c>
      <c r="N26" s="9" t="n">
        <f aca="false">EDATE($M26,Assumptions!$C$8)</f>
        <v>46767</v>
      </c>
      <c r="O26" s="11" t="n">
        <f aca="false">$N26+30</f>
        <v>46797</v>
      </c>
      <c r="P26" s="8" t="str">
        <f aca="false">IF($O26&gt;DATE(2027,7,10),"LIVE AFTER APPLICATION DATE",IF($O26&gt;DATE(2027,4,10),"Tight (&lt;3m before application)","OK"))</f>
        <v>LIVE AFTER APPLICATION DATE</v>
      </c>
    </row>
    <row r="27" customFormat="false" ht="20.85" hidden="false" customHeight="false" outlineLevel="0" collapsed="false">
      <c r="A27" s="7" t="n">
        <v>18</v>
      </c>
      <c r="B27" s="7" t="s">
        <v>26</v>
      </c>
      <c r="C27" s="7" t="s">
        <v>31</v>
      </c>
      <c r="D27" s="8" t="s">
        <v>76</v>
      </c>
      <c r="E27" s="9" t="s">
        <v>29</v>
      </c>
      <c r="F27" s="12" t="n">
        <v>46371</v>
      </c>
      <c r="G27" s="8" t="s">
        <v>73</v>
      </c>
      <c r="H27" s="9" t="n">
        <f aca="false">EDATE($F27,Assumptions!$B$6)</f>
        <v>46461</v>
      </c>
      <c r="I27" s="9" t="n">
        <f aca="false">EDATE($H27,Assumptions!$B$7)</f>
        <v>46553</v>
      </c>
      <c r="J27" s="9" t="n">
        <f aca="false">EDATE($I27,Assumptions!$B$8)</f>
        <v>46645</v>
      </c>
      <c r="K27" s="11" t="n">
        <f aca="false">$J27+20</f>
        <v>46665</v>
      </c>
      <c r="L27" s="9" t="n">
        <f aca="false">EDATE($F27,Assumptions!$C$6)</f>
        <v>46492</v>
      </c>
      <c r="M27" s="9" t="n">
        <f aca="false">EDATE($L27,Assumptions!$C$7)</f>
        <v>46675</v>
      </c>
      <c r="N27" s="9" t="n">
        <f aca="false">EDATE($M27,Assumptions!$C$8)</f>
        <v>46767</v>
      </c>
      <c r="O27" s="11" t="n">
        <f aca="false">$N27+30</f>
        <v>46797</v>
      </c>
      <c r="P27" s="8" t="str">
        <f aca="false">IF($O27&gt;DATE(2027,7,10),"LIVE AFTER APPLICATION DATE",IF($O27&gt;DATE(2027,4,10),"Tight (&lt;3m before application)","OK"))</f>
        <v>LIVE AFTER APPLICATION DATE</v>
      </c>
    </row>
    <row r="28" customFormat="false" ht="20.85" hidden="false" customHeight="false" outlineLevel="0" collapsed="false">
      <c r="A28" s="7" t="n">
        <v>19</v>
      </c>
      <c r="B28" s="7" t="s">
        <v>55</v>
      </c>
      <c r="C28" s="7" t="s">
        <v>77</v>
      </c>
      <c r="D28" s="8" t="s">
        <v>78</v>
      </c>
      <c r="E28" s="9" t="s">
        <v>29</v>
      </c>
      <c r="F28" s="12" t="n">
        <v>46371</v>
      </c>
      <c r="G28" s="8" t="s">
        <v>79</v>
      </c>
      <c r="H28" s="9" t="n">
        <f aca="false">EDATE($F28,Assumptions!$B$10)</f>
        <v>46461</v>
      </c>
      <c r="I28" s="9" t="s">
        <v>37</v>
      </c>
      <c r="J28" s="9" t="s">
        <v>37</v>
      </c>
      <c r="K28" s="11" t="n">
        <f aca="false">MAX($H28,DATE(2027,7,10))</f>
        <v>46578</v>
      </c>
      <c r="L28" s="9" t="n">
        <f aca="false">EDATE($F28,Assumptions!$C$10)</f>
        <v>46553</v>
      </c>
      <c r="M28" s="9" t="s">
        <v>37</v>
      </c>
      <c r="N28" s="9" t="s">
        <v>37</v>
      </c>
      <c r="O28" s="11" t="n">
        <f aca="false">MAX($L28,DATE(2027,7,10))</f>
        <v>46578</v>
      </c>
      <c r="P28" s="8" t="str">
        <f aca="false">IF($O28&gt;DATE(2027,7,10),"LIVE AFTER APPLICATION DATE",IF($O28&gt;DATE(2027,4,10),"Tight (&lt;3m before application)","OK"))</f>
        <v>Tight (&lt;3m before application)</v>
      </c>
    </row>
    <row r="29" customFormat="false" ht="20.85" hidden="false" customHeight="false" outlineLevel="0" collapsed="false">
      <c r="A29" s="7" t="n">
        <v>20</v>
      </c>
      <c r="B29" s="7" t="s">
        <v>26</v>
      </c>
      <c r="C29" s="7" t="s">
        <v>80</v>
      </c>
      <c r="D29" s="8" t="s">
        <v>81</v>
      </c>
      <c r="E29" s="9" t="s">
        <v>29</v>
      </c>
      <c r="F29" s="12" t="n">
        <v>46461</v>
      </c>
      <c r="G29" s="8" t="s">
        <v>82</v>
      </c>
      <c r="H29" s="9" t="n">
        <f aca="false">EDATE($F29,Assumptions!$B$6)</f>
        <v>46553</v>
      </c>
      <c r="I29" s="9" t="n">
        <f aca="false">EDATE($H29,Assumptions!$B$7)</f>
        <v>46645</v>
      </c>
      <c r="J29" s="9" t="n">
        <f aca="false">EDATE($I29,Assumptions!$B$8)</f>
        <v>46736</v>
      </c>
      <c r="K29" s="11" t="n">
        <f aca="false">$J29+20</f>
        <v>46756</v>
      </c>
      <c r="L29" s="9" t="n">
        <f aca="false">EDATE($F29,Assumptions!$C$6)</f>
        <v>46583</v>
      </c>
      <c r="M29" s="9" t="n">
        <f aca="false">EDATE($L29,Assumptions!$C$7)</f>
        <v>46767</v>
      </c>
      <c r="N29" s="9" t="n">
        <f aca="false">EDATE($M29,Assumptions!$C$8)</f>
        <v>46858</v>
      </c>
      <c r="O29" s="11" t="n">
        <f aca="false">$N29+30</f>
        <v>46888</v>
      </c>
      <c r="P29" s="8" t="str">
        <f aca="false">IF($O29&gt;DATE(2027,7,10),"LIVE AFTER APPLICATION DATE",IF($O29&gt;DATE(2027,4,10),"Tight (&lt;3m before application)","OK"))</f>
        <v>LIVE AFTER APPLICATION DATE</v>
      </c>
    </row>
    <row r="30" customFormat="false" ht="20.85" hidden="false" customHeight="false" outlineLevel="0" collapsed="false">
      <c r="A30" s="7" t="n">
        <v>21</v>
      </c>
      <c r="B30" s="7" t="s">
        <v>55</v>
      </c>
      <c r="C30" s="7" t="s">
        <v>83</v>
      </c>
      <c r="D30" s="8" t="s">
        <v>84</v>
      </c>
      <c r="E30" s="9" t="s">
        <v>29</v>
      </c>
      <c r="F30" s="12" t="n">
        <v>46553</v>
      </c>
      <c r="G30" s="8" t="s">
        <v>85</v>
      </c>
      <c r="H30" s="9" t="n">
        <f aca="false">EDATE($F30,Assumptions!$B$10)</f>
        <v>46645</v>
      </c>
      <c r="I30" s="9" t="s">
        <v>37</v>
      </c>
      <c r="J30" s="9" t="s">
        <v>37</v>
      </c>
      <c r="K30" s="11" t="n">
        <f aca="false">MAX($H30,DATE(2027,7,10))</f>
        <v>46645</v>
      </c>
      <c r="L30" s="9" t="n">
        <f aca="false">EDATE($F30,Assumptions!$C$10)</f>
        <v>46736</v>
      </c>
      <c r="M30" s="9" t="s">
        <v>37</v>
      </c>
      <c r="N30" s="9" t="s">
        <v>37</v>
      </c>
      <c r="O30" s="11" t="n">
        <f aca="false">MAX($L30,DATE(2027,7,10))</f>
        <v>46736</v>
      </c>
      <c r="P30" s="8" t="str">
        <f aca="false">IF($O30&gt;DATE(2027,7,10),"LIVE AFTER APPLICATION DATE",IF($O30&gt;DATE(2027,4,10),"Tight (&lt;3m before application)","OK"))</f>
        <v>LIVE AFTER APPLICATION DATE</v>
      </c>
    </row>
    <row r="32" customFormat="false" ht="15" hidden="false" customHeight="false" outlineLevel="0" collapsed="false">
      <c r="A32" s="2" t="s">
        <v>86</v>
      </c>
    </row>
  </sheetData>
  <conditionalFormatting sqref="P10:P30">
    <cfRule type="cellIs" priority="2" operator="equal" aboveAverage="0" equalAverage="0" bottom="0" percent="0" rank="0" text="" dxfId="0">
      <formula>"LIVE AFTER APPLICATION DATE"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6"/>
    <col collapsed="false" customWidth="true" hidden="false" outlineLevel="0" max="34" min="4" style="0" width="3.2"/>
  </cols>
  <sheetData>
    <row r="1" customFormat="false" ht="15" hidden="false" customHeight="false" outlineLevel="0" collapsed="false">
      <c r="A1" s="13" t="s">
        <v>87</v>
      </c>
    </row>
    <row r="2" customFormat="false" ht="15" hidden="false" customHeight="false" outlineLevel="0" collapsed="false">
      <c r="A2" s="2" t="s">
        <v>88</v>
      </c>
    </row>
    <row r="4" customFormat="false" ht="27.6" hidden="false" customHeight="false" outlineLevel="0" collapsed="false">
      <c r="A4" s="4" t="s">
        <v>10</v>
      </c>
      <c r="B4" s="4" t="s">
        <v>13</v>
      </c>
      <c r="C4" s="4" t="s">
        <v>11</v>
      </c>
      <c r="D4" s="14" t="n">
        <v>45992</v>
      </c>
      <c r="E4" s="14" t="n">
        <v>46023</v>
      </c>
      <c r="F4" s="14" t="n">
        <v>46054</v>
      </c>
      <c r="G4" s="14" t="n">
        <v>46082</v>
      </c>
      <c r="H4" s="14" t="n">
        <v>46113</v>
      </c>
      <c r="I4" s="14" t="n">
        <v>46143</v>
      </c>
      <c r="J4" s="14" t="n">
        <v>46174</v>
      </c>
      <c r="K4" s="14" t="n">
        <v>46204</v>
      </c>
      <c r="L4" s="14" t="n">
        <v>46235</v>
      </c>
      <c r="M4" s="14" t="n">
        <v>46266</v>
      </c>
      <c r="N4" s="14" t="n">
        <v>46296</v>
      </c>
      <c r="O4" s="14" t="n">
        <v>46327</v>
      </c>
      <c r="P4" s="14" t="n">
        <v>46357</v>
      </c>
      <c r="Q4" s="14" t="n">
        <v>46388</v>
      </c>
      <c r="R4" s="14" t="n">
        <v>46419</v>
      </c>
      <c r="S4" s="14" t="n">
        <v>46447</v>
      </c>
      <c r="T4" s="14" t="n">
        <v>46478</v>
      </c>
      <c r="U4" s="14" t="n">
        <v>46508</v>
      </c>
      <c r="V4" s="14" t="n">
        <v>46539</v>
      </c>
      <c r="W4" s="15" t="n">
        <v>46569</v>
      </c>
      <c r="X4" s="14" t="n">
        <v>46600</v>
      </c>
      <c r="Y4" s="14" t="n">
        <v>46631</v>
      </c>
      <c r="Z4" s="14" t="n">
        <v>46661</v>
      </c>
      <c r="AA4" s="14" t="n">
        <v>46692</v>
      </c>
      <c r="AB4" s="14" t="n">
        <v>46722</v>
      </c>
      <c r="AC4" s="14" t="n">
        <v>46753</v>
      </c>
      <c r="AD4" s="14" t="n">
        <v>46784</v>
      </c>
      <c r="AE4" s="14" t="n">
        <v>46813</v>
      </c>
      <c r="AF4" s="14" t="n">
        <v>46844</v>
      </c>
      <c r="AG4" s="14" t="n">
        <v>46874</v>
      </c>
      <c r="AH4" s="14" t="n">
        <v>46905</v>
      </c>
    </row>
    <row r="5" customFormat="false" ht="15" hidden="false" customHeight="false" outlineLevel="0" collapsed="false">
      <c r="A5" s="5" t="n">
        <v>1</v>
      </c>
      <c r="B5" s="16" t="s">
        <v>28</v>
      </c>
      <c r="C5" s="16" t="s">
        <v>26</v>
      </c>
      <c r="D5" s="17" t="str">
        <f aca="false">IF(AND(ISNUMBER(Timeline!$E10),ISNUMBER(Timeline!$F10),D$4&lt;=Timeline!$F10,EOMONTH(D$4,0)&gt;=Timeline!$E10),"C",IF(AND(ISNUMBER(Timeline!$F10),ISNUMBER(Timeline!$K10),D$4&lt;=Timeline!$K10,EOMONTH(D$4,0)&gt;Timeline!$F10),"P",IF(AND(ISNUMBER(Timeline!$H10),ISNUMBER(Timeline!$K10),NOT(ISNUMBER(Timeline!$F10)),D$4&lt;=Timeline!$K10,EOMONTH(D$4,0)&gt;=Timeline!$H10),"P",IF(AND(ISNUMBER(Timeline!$K10),ISNUMBER(Timeline!$O10),D$4&lt;=Timeline!$O10,EOMONTH(D$4,0)&gt;Timeline!$K10),"S",""))))</f>
        <v>P</v>
      </c>
      <c r="E5" s="17" t="str">
        <f aca="false">IF(AND(ISNUMBER(Timeline!$E10),ISNUMBER(Timeline!$F10),E$4&lt;=Timeline!$F10,EOMONTH(E$4,0)&gt;=Timeline!$E10),"C",IF(AND(ISNUMBER(Timeline!$F10),ISNUMBER(Timeline!$K10),E$4&lt;=Timeline!$K10,EOMONTH(E$4,0)&gt;Timeline!$F10),"P",IF(AND(ISNUMBER(Timeline!$H10),ISNUMBER(Timeline!$K10),NOT(ISNUMBER(Timeline!$F10)),E$4&lt;=Timeline!$K10,EOMONTH(E$4,0)&gt;=Timeline!$H10),"P",IF(AND(ISNUMBER(Timeline!$K10),ISNUMBER(Timeline!$O10),E$4&lt;=Timeline!$O10,EOMONTH(E$4,0)&gt;Timeline!$K10),"S",""))))</f>
        <v>P</v>
      </c>
      <c r="F5" s="17" t="str">
        <f aca="false">IF(AND(ISNUMBER(Timeline!$E10),ISNUMBER(Timeline!$F10),F$4&lt;=Timeline!$F10,EOMONTH(F$4,0)&gt;=Timeline!$E10),"C",IF(AND(ISNUMBER(Timeline!$F10),ISNUMBER(Timeline!$K10),F$4&lt;=Timeline!$K10,EOMONTH(F$4,0)&gt;Timeline!$F10),"P",IF(AND(ISNUMBER(Timeline!$H10),ISNUMBER(Timeline!$K10),NOT(ISNUMBER(Timeline!$F10)),F$4&lt;=Timeline!$K10,EOMONTH(F$4,0)&gt;=Timeline!$H10),"P",IF(AND(ISNUMBER(Timeline!$K10),ISNUMBER(Timeline!$O10),F$4&lt;=Timeline!$O10,EOMONTH(F$4,0)&gt;Timeline!$K10),"S",""))))</f>
        <v>P</v>
      </c>
      <c r="G5" s="17" t="str">
        <f aca="false">IF(AND(ISNUMBER(Timeline!$E10),ISNUMBER(Timeline!$F10),G$4&lt;=Timeline!$F10,EOMONTH(G$4,0)&gt;=Timeline!$E10),"C",IF(AND(ISNUMBER(Timeline!$F10),ISNUMBER(Timeline!$K10),G$4&lt;=Timeline!$K10,EOMONTH(G$4,0)&gt;Timeline!$F10),"P",IF(AND(ISNUMBER(Timeline!$H10),ISNUMBER(Timeline!$K10),NOT(ISNUMBER(Timeline!$F10)),G$4&lt;=Timeline!$K10,EOMONTH(G$4,0)&gt;=Timeline!$H10),"P",IF(AND(ISNUMBER(Timeline!$K10),ISNUMBER(Timeline!$O10),G$4&lt;=Timeline!$O10,EOMONTH(G$4,0)&gt;Timeline!$K10),"S",""))))</f>
        <v>P</v>
      </c>
      <c r="H5" s="17" t="str">
        <f aca="false">IF(AND(ISNUMBER(Timeline!$E10),ISNUMBER(Timeline!$F10),H$4&lt;=Timeline!$F10,EOMONTH(H$4,0)&gt;=Timeline!$E10),"C",IF(AND(ISNUMBER(Timeline!$F10),ISNUMBER(Timeline!$K10),H$4&lt;=Timeline!$K10,EOMONTH(H$4,0)&gt;Timeline!$F10),"P",IF(AND(ISNUMBER(Timeline!$H10),ISNUMBER(Timeline!$K10),NOT(ISNUMBER(Timeline!$F10)),H$4&lt;=Timeline!$K10,EOMONTH(H$4,0)&gt;=Timeline!$H10),"P",IF(AND(ISNUMBER(Timeline!$K10),ISNUMBER(Timeline!$O10),H$4&lt;=Timeline!$O10,EOMONTH(H$4,0)&gt;Timeline!$K10),"S",""))))</f>
        <v>P</v>
      </c>
      <c r="I5" s="17" t="str">
        <f aca="false">IF(AND(ISNUMBER(Timeline!$E10),ISNUMBER(Timeline!$F10),I$4&lt;=Timeline!$F10,EOMONTH(I$4,0)&gt;=Timeline!$E10),"C",IF(AND(ISNUMBER(Timeline!$F10),ISNUMBER(Timeline!$K10),I$4&lt;=Timeline!$K10,EOMONTH(I$4,0)&gt;Timeline!$F10),"P",IF(AND(ISNUMBER(Timeline!$H10),ISNUMBER(Timeline!$K10),NOT(ISNUMBER(Timeline!$F10)),I$4&lt;=Timeline!$K10,EOMONTH(I$4,0)&gt;=Timeline!$H10),"P",IF(AND(ISNUMBER(Timeline!$K10),ISNUMBER(Timeline!$O10),I$4&lt;=Timeline!$O10,EOMONTH(I$4,0)&gt;Timeline!$K10),"S",""))))</f>
        <v>P</v>
      </c>
      <c r="J5" s="17" t="str">
        <f aca="false">IF(AND(ISNUMBER(Timeline!$E10),ISNUMBER(Timeline!$F10),J$4&lt;=Timeline!$F10,EOMONTH(J$4,0)&gt;=Timeline!$E10),"C",IF(AND(ISNUMBER(Timeline!$F10),ISNUMBER(Timeline!$K10),J$4&lt;=Timeline!$K10,EOMONTH(J$4,0)&gt;Timeline!$F10),"P",IF(AND(ISNUMBER(Timeline!$H10),ISNUMBER(Timeline!$K10),NOT(ISNUMBER(Timeline!$F10)),J$4&lt;=Timeline!$K10,EOMONTH(J$4,0)&gt;=Timeline!$H10),"P",IF(AND(ISNUMBER(Timeline!$K10),ISNUMBER(Timeline!$O10),J$4&lt;=Timeline!$O10,EOMONTH(J$4,0)&gt;Timeline!$K10),"S",""))))</f>
        <v>P</v>
      </c>
      <c r="K5" s="17" t="str">
        <f aca="false">IF(AND(ISNUMBER(Timeline!$E10),ISNUMBER(Timeline!$F10),K$4&lt;=Timeline!$F10,EOMONTH(K$4,0)&gt;=Timeline!$E10),"C",IF(AND(ISNUMBER(Timeline!$F10),ISNUMBER(Timeline!$K10),K$4&lt;=Timeline!$K10,EOMONTH(K$4,0)&gt;Timeline!$F10),"P",IF(AND(ISNUMBER(Timeline!$H10),ISNUMBER(Timeline!$K10),NOT(ISNUMBER(Timeline!$F10)),K$4&lt;=Timeline!$K10,EOMONTH(K$4,0)&gt;=Timeline!$H10),"P",IF(AND(ISNUMBER(Timeline!$K10),ISNUMBER(Timeline!$O10),K$4&lt;=Timeline!$O10,EOMONTH(K$4,0)&gt;Timeline!$K10),"S",""))))</f>
        <v>P</v>
      </c>
      <c r="L5" s="17" t="str">
        <f aca="false">IF(AND(ISNUMBER(Timeline!$E10),ISNUMBER(Timeline!$F10),L$4&lt;=Timeline!$F10,EOMONTH(L$4,0)&gt;=Timeline!$E10),"C",IF(AND(ISNUMBER(Timeline!$F10),ISNUMBER(Timeline!$K10),L$4&lt;=Timeline!$K10,EOMONTH(L$4,0)&gt;Timeline!$F10),"P",IF(AND(ISNUMBER(Timeline!$H10),ISNUMBER(Timeline!$K10),NOT(ISNUMBER(Timeline!$F10)),L$4&lt;=Timeline!$K10,EOMONTH(L$4,0)&gt;=Timeline!$H10),"P",IF(AND(ISNUMBER(Timeline!$K10),ISNUMBER(Timeline!$O10),L$4&lt;=Timeline!$O10,EOMONTH(L$4,0)&gt;Timeline!$K10),"S",""))))</f>
        <v>S</v>
      </c>
      <c r="M5" s="17" t="str">
        <f aca="false">IF(AND(ISNUMBER(Timeline!$E10),ISNUMBER(Timeline!$F10),M$4&lt;=Timeline!$F10,EOMONTH(M$4,0)&gt;=Timeline!$E10),"C",IF(AND(ISNUMBER(Timeline!$F10),ISNUMBER(Timeline!$K10),M$4&lt;=Timeline!$K10,EOMONTH(M$4,0)&gt;Timeline!$F10),"P",IF(AND(ISNUMBER(Timeline!$H10),ISNUMBER(Timeline!$K10),NOT(ISNUMBER(Timeline!$F10)),M$4&lt;=Timeline!$K10,EOMONTH(M$4,0)&gt;=Timeline!$H10),"P",IF(AND(ISNUMBER(Timeline!$K10),ISNUMBER(Timeline!$O10),M$4&lt;=Timeline!$O10,EOMONTH(M$4,0)&gt;Timeline!$K10),"S",""))))</f>
        <v>S</v>
      </c>
      <c r="N5" s="17" t="str">
        <f aca="false">IF(AND(ISNUMBER(Timeline!$E10),ISNUMBER(Timeline!$F10),N$4&lt;=Timeline!$F10,EOMONTH(N$4,0)&gt;=Timeline!$E10),"C",IF(AND(ISNUMBER(Timeline!$F10),ISNUMBER(Timeline!$K10),N$4&lt;=Timeline!$K10,EOMONTH(N$4,0)&gt;Timeline!$F10),"P",IF(AND(ISNUMBER(Timeline!$H10),ISNUMBER(Timeline!$K10),NOT(ISNUMBER(Timeline!$F10)),N$4&lt;=Timeline!$K10,EOMONTH(N$4,0)&gt;=Timeline!$H10),"P",IF(AND(ISNUMBER(Timeline!$K10),ISNUMBER(Timeline!$O10),N$4&lt;=Timeline!$O10,EOMONTH(N$4,0)&gt;Timeline!$K10),"S",""))))</f>
        <v>S</v>
      </c>
      <c r="O5" s="17" t="str">
        <f aca="false">IF(AND(ISNUMBER(Timeline!$E10),ISNUMBER(Timeline!$F10),O$4&lt;=Timeline!$F10,EOMONTH(O$4,0)&gt;=Timeline!$E10),"C",IF(AND(ISNUMBER(Timeline!$F10),ISNUMBER(Timeline!$K10),O$4&lt;=Timeline!$K10,EOMONTH(O$4,0)&gt;Timeline!$F10),"P",IF(AND(ISNUMBER(Timeline!$H10),ISNUMBER(Timeline!$K10),NOT(ISNUMBER(Timeline!$F10)),O$4&lt;=Timeline!$K10,EOMONTH(O$4,0)&gt;=Timeline!$H10),"P",IF(AND(ISNUMBER(Timeline!$K10),ISNUMBER(Timeline!$O10),O$4&lt;=Timeline!$O10,EOMONTH(O$4,0)&gt;Timeline!$K10),"S",""))))</f>
        <v/>
      </c>
      <c r="P5" s="17" t="str">
        <f aca="false">IF(AND(ISNUMBER(Timeline!$E10),ISNUMBER(Timeline!$F10),P$4&lt;=Timeline!$F10,EOMONTH(P$4,0)&gt;=Timeline!$E10),"C",IF(AND(ISNUMBER(Timeline!$F10),ISNUMBER(Timeline!$K10),P$4&lt;=Timeline!$K10,EOMONTH(P$4,0)&gt;Timeline!$F10),"P",IF(AND(ISNUMBER(Timeline!$H10),ISNUMBER(Timeline!$K10),NOT(ISNUMBER(Timeline!$F10)),P$4&lt;=Timeline!$K10,EOMONTH(P$4,0)&gt;=Timeline!$H10),"P",IF(AND(ISNUMBER(Timeline!$K10),ISNUMBER(Timeline!$O10),P$4&lt;=Timeline!$O10,EOMONTH(P$4,0)&gt;Timeline!$K10),"S",""))))</f>
        <v/>
      </c>
      <c r="Q5" s="17" t="str">
        <f aca="false">IF(AND(ISNUMBER(Timeline!$E10),ISNUMBER(Timeline!$F10),Q$4&lt;=Timeline!$F10,EOMONTH(Q$4,0)&gt;=Timeline!$E10),"C",IF(AND(ISNUMBER(Timeline!$F10),ISNUMBER(Timeline!$K10),Q$4&lt;=Timeline!$K10,EOMONTH(Q$4,0)&gt;Timeline!$F10),"P",IF(AND(ISNUMBER(Timeline!$H10),ISNUMBER(Timeline!$K10),NOT(ISNUMBER(Timeline!$F10)),Q$4&lt;=Timeline!$K10,EOMONTH(Q$4,0)&gt;=Timeline!$H10),"P",IF(AND(ISNUMBER(Timeline!$K10),ISNUMBER(Timeline!$O10),Q$4&lt;=Timeline!$O10,EOMONTH(Q$4,0)&gt;Timeline!$K10),"S",""))))</f>
        <v/>
      </c>
      <c r="R5" s="17" t="str">
        <f aca="false">IF(AND(ISNUMBER(Timeline!$E10),ISNUMBER(Timeline!$F10),R$4&lt;=Timeline!$F10,EOMONTH(R$4,0)&gt;=Timeline!$E10),"C",IF(AND(ISNUMBER(Timeline!$F10),ISNUMBER(Timeline!$K10),R$4&lt;=Timeline!$K10,EOMONTH(R$4,0)&gt;Timeline!$F10),"P",IF(AND(ISNUMBER(Timeline!$H10),ISNUMBER(Timeline!$K10),NOT(ISNUMBER(Timeline!$F10)),R$4&lt;=Timeline!$K10,EOMONTH(R$4,0)&gt;=Timeline!$H10),"P",IF(AND(ISNUMBER(Timeline!$K10),ISNUMBER(Timeline!$O10),R$4&lt;=Timeline!$O10,EOMONTH(R$4,0)&gt;Timeline!$K10),"S",""))))</f>
        <v/>
      </c>
      <c r="S5" s="17" t="str">
        <f aca="false">IF(AND(ISNUMBER(Timeline!$E10),ISNUMBER(Timeline!$F10),S$4&lt;=Timeline!$F10,EOMONTH(S$4,0)&gt;=Timeline!$E10),"C",IF(AND(ISNUMBER(Timeline!$F10),ISNUMBER(Timeline!$K10),S$4&lt;=Timeline!$K10,EOMONTH(S$4,0)&gt;Timeline!$F10),"P",IF(AND(ISNUMBER(Timeline!$H10),ISNUMBER(Timeline!$K10),NOT(ISNUMBER(Timeline!$F10)),S$4&lt;=Timeline!$K10,EOMONTH(S$4,0)&gt;=Timeline!$H10),"P",IF(AND(ISNUMBER(Timeline!$K10),ISNUMBER(Timeline!$O10),S$4&lt;=Timeline!$O10,EOMONTH(S$4,0)&gt;Timeline!$K10),"S",""))))</f>
        <v/>
      </c>
      <c r="T5" s="17" t="str">
        <f aca="false">IF(AND(ISNUMBER(Timeline!$E10),ISNUMBER(Timeline!$F10),T$4&lt;=Timeline!$F10,EOMONTH(T$4,0)&gt;=Timeline!$E10),"C",IF(AND(ISNUMBER(Timeline!$F10),ISNUMBER(Timeline!$K10),T$4&lt;=Timeline!$K10,EOMONTH(T$4,0)&gt;Timeline!$F10),"P",IF(AND(ISNUMBER(Timeline!$H10),ISNUMBER(Timeline!$K10),NOT(ISNUMBER(Timeline!$F10)),T$4&lt;=Timeline!$K10,EOMONTH(T$4,0)&gt;=Timeline!$H10),"P",IF(AND(ISNUMBER(Timeline!$K10),ISNUMBER(Timeline!$O10),T$4&lt;=Timeline!$O10,EOMONTH(T$4,0)&gt;Timeline!$K10),"S",""))))</f>
        <v/>
      </c>
      <c r="U5" s="17" t="str">
        <f aca="false">IF(AND(ISNUMBER(Timeline!$E10),ISNUMBER(Timeline!$F10),U$4&lt;=Timeline!$F10,EOMONTH(U$4,0)&gt;=Timeline!$E10),"C",IF(AND(ISNUMBER(Timeline!$F10),ISNUMBER(Timeline!$K10),U$4&lt;=Timeline!$K10,EOMONTH(U$4,0)&gt;Timeline!$F10),"P",IF(AND(ISNUMBER(Timeline!$H10),ISNUMBER(Timeline!$K10),NOT(ISNUMBER(Timeline!$F10)),U$4&lt;=Timeline!$K10,EOMONTH(U$4,0)&gt;=Timeline!$H10),"P",IF(AND(ISNUMBER(Timeline!$K10),ISNUMBER(Timeline!$O10),U$4&lt;=Timeline!$O10,EOMONTH(U$4,0)&gt;Timeline!$K10),"S",""))))</f>
        <v/>
      </c>
      <c r="V5" s="17" t="str">
        <f aca="false">IF(AND(ISNUMBER(Timeline!$E10),ISNUMBER(Timeline!$F10),V$4&lt;=Timeline!$F10,EOMONTH(V$4,0)&gt;=Timeline!$E10),"C",IF(AND(ISNUMBER(Timeline!$F10),ISNUMBER(Timeline!$K10),V$4&lt;=Timeline!$K10,EOMONTH(V$4,0)&gt;Timeline!$F10),"P",IF(AND(ISNUMBER(Timeline!$H10),ISNUMBER(Timeline!$K10),NOT(ISNUMBER(Timeline!$F10)),V$4&lt;=Timeline!$K10,EOMONTH(V$4,0)&gt;=Timeline!$H10),"P",IF(AND(ISNUMBER(Timeline!$K10),ISNUMBER(Timeline!$O10),V$4&lt;=Timeline!$O10,EOMONTH(V$4,0)&gt;Timeline!$K10),"S",""))))</f>
        <v/>
      </c>
      <c r="W5" s="17" t="str">
        <f aca="false">IF(AND(ISNUMBER(Timeline!$E10),ISNUMBER(Timeline!$F10),W$4&lt;=Timeline!$F10,EOMONTH(W$4,0)&gt;=Timeline!$E10),"C",IF(AND(ISNUMBER(Timeline!$F10),ISNUMBER(Timeline!$K10),W$4&lt;=Timeline!$K10,EOMONTH(W$4,0)&gt;Timeline!$F10),"P",IF(AND(ISNUMBER(Timeline!$H10),ISNUMBER(Timeline!$K10),NOT(ISNUMBER(Timeline!$F10)),W$4&lt;=Timeline!$K10,EOMONTH(W$4,0)&gt;=Timeline!$H10),"P",IF(AND(ISNUMBER(Timeline!$K10),ISNUMBER(Timeline!$O10),W$4&lt;=Timeline!$O10,EOMONTH(W$4,0)&gt;Timeline!$K10),"S",""))))</f>
        <v/>
      </c>
      <c r="X5" s="17" t="str">
        <f aca="false">IF(AND(ISNUMBER(Timeline!$E10),ISNUMBER(Timeline!$F10),X$4&lt;=Timeline!$F10,EOMONTH(X$4,0)&gt;=Timeline!$E10),"C",IF(AND(ISNUMBER(Timeline!$F10),ISNUMBER(Timeline!$K10),X$4&lt;=Timeline!$K10,EOMONTH(X$4,0)&gt;Timeline!$F10),"P",IF(AND(ISNUMBER(Timeline!$H10),ISNUMBER(Timeline!$K10),NOT(ISNUMBER(Timeline!$F10)),X$4&lt;=Timeline!$K10,EOMONTH(X$4,0)&gt;=Timeline!$H10),"P",IF(AND(ISNUMBER(Timeline!$K10),ISNUMBER(Timeline!$O10),X$4&lt;=Timeline!$O10,EOMONTH(X$4,0)&gt;Timeline!$K10),"S",""))))</f>
        <v/>
      </c>
      <c r="Y5" s="17" t="str">
        <f aca="false">IF(AND(ISNUMBER(Timeline!$E10),ISNUMBER(Timeline!$F10),Y$4&lt;=Timeline!$F10,EOMONTH(Y$4,0)&gt;=Timeline!$E10),"C",IF(AND(ISNUMBER(Timeline!$F10),ISNUMBER(Timeline!$K10),Y$4&lt;=Timeline!$K10,EOMONTH(Y$4,0)&gt;Timeline!$F10),"P",IF(AND(ISNUMBER(Timeline!$H10),ISNUMBER(Timeline!$K10),NOT(ISNUMBER(Timeline!$F10)),Y$4&lt;=Timeline!$K10,EOMONTH(Y$4,0)&gt;=Timeline!$H10),"P",IF(AND(ISNUMBER(Timeline!$K10),ISNUMBER(Timeline!$O10),Y$4&lt;=Timeline!$O10,EOMONTH(Y$4,0)&gt;Timeline!$K10),"S",""))))</f>
        <v/>
      </c>
      <c r="Z5" s="17" t="str">
        <f aca="false">IF(AND(ISNUMBER(Timeline!$E10),ISNUMBER(Timeline!$F10),Z$4&lt;=Timeline!$F10,EOMONTH(Z$4,0)&gt;=Timeline!$E10),"C",IF(AND(ISNUMBER(Timeline!$F10),ISNUMBER(Timeline!$K10),Z$4&lt;=Timeline!$K10,EOMONTH(Z$4,0)&gt;Timeline!$F10),"P",IF(AND(ISNUMBER(Timeline!$H10),ISNUMBER(Timeline!$K10),NOT(ISNUMBER(Timeline!$F10)),Z$4&lt;=Timeline!$K10,EOMONTH(Z$4,0)&gt;=Timeline!$H10),"P",IF(AND(ISNUMBER(Timeline!$K10),ISNUMBER(Timeline!$O10),Z$4&lt;=Timeline!$O10,EOMONTH(Z$4,0)&gt;Timeline!$K10),"S",""))))</f>
        <v/>
      </c>
      <c r="AA5" s="17" t="str">
        <f aca="false">IF(AND(ISNUMBER(Timeline!$E10),ISNUMBER(Timeline!$F10),AA$4&lt;=Timeline!$F10,EOMONTH(AA$4,0)&gt;=Timeline!$E10),"C",IF(AND(ISNUMBER(Timeline!$F10),ISNUMBER(Timeline!$K10),AA$4&lt;=Timeline!$K10,EOMONTH(AA$4,0)&gt;Timeline!$F10),"P",IF(AND(ISNUMBER(Timeline!$H10),ISNUMBER(Timeline!$K10),NOT(ISNUMBER(Timeline!$F10)),AA$4&lt;=Timeline!$K10,EOMONTH(AA$4,0)&gt;=Timeline!$H10),"P",IF(AND(ISNUMBER(Timeline!$K10),ISNUMBER(Timeline!$O10),AA$4&lt;=Timeline!$O10,EOMONTH(AA$4,0)&gt;Timeline!$K10),"S",""))))</f>
        <v/>
      </c>
      <c r="AB5" s="17" t="str">
        <f aca="false">IF(AND(ISNUMBER(Timeline!$E10),ISNUMBER(Timeline!$F10),AB$4&lt;=Timeline!$F10,EOMONTH(AB$4,0)&gt;=Timeline!$E10),"C",IF(AND(ISNUMBER(Timeline!$F10),ISNUMBER(Timeline!$K10),AB$4&lt;=Timeline!$K10,EOMONTH(AB$4,0)&gt;Timeline!$F10),"P",IF(AND(ISNUMBER(Timeline!$H10),ISNUMBER(Timeline!$K10),NOT(ISNUMBER(Timeline!$F10)),AB$4&lt;=Timeline!$K10,EOMONTH(AB$4,0)&gt;=Timeline!$H10),"P",IF(AND(ISNUMBER(Timeline!$K10),ISNUMBER(Timeline!$O10),AB$4&lt;=Timeline!$O10,EOMONTH(AB$4,0)&gt;Timeline!$K10),"S",""))))</f>
        <v/>
      </c>
      <c r="AC5" s="17" t="str">
        <f aca="false">IF(AND(ISNUMBER(Timeline!$E10),ISNUMBER(Timeline!$F10),AC$4&lt;=Timeline!$F10,EOMONTH(AC$4,0)&gt;=Timeline!$E10),"C",IF(AND(ISNUMBER(Timeline!$F10),ISNUMBER(Timeline!$K10),AC$4&lt;=Timeline!$K10,EOMONTH(AC$4,0)&gt;Timeline!$F10),"P",IF(AND(ISNUMBER(Timeline!$H10),ISNUMBER(Timeline!$K10),NOT(ISNUMBER(Timeline!$F10)),AC$4&lt;=Timeline!$K10,EOMONTH(AC$4,0)&gt;=Timeline!$H10),"P",IF(AND(ISNUMBER(Timeline!$K10),ISNUMBER(Timeline!$O10),AC$4&lt;=Timeline!$O10,EOMONTH(AC$4,0)&gt;Timeline!$K10),"S",""))))</f>
        <v/>
      </c>
      <c r="AD5" s="17" t="str">
        <f aca="false">IF(AND(ISNUMBER(Timeline!$E10),ISNUMBER(Timeline!$F10),AD$4&lt;=Timeline!$F10,EOMONTH(AD$4,0)&gt;=Timeline!$E10),"C",IF(AND(ISNUMBER(Timeline!$F10),ISNUMBER(Timeline!$K10),AD$4&lt;=Timeline!$K10,EOMONTH(AD$4,0)&gt;Timeline!$F10),"P",IF(AND(ISNUMBER(Timeline!$H10),ISNUMBER(Timeline!$K10),NOT(ISNUMBER(Timeline!$F10)),AD$4&lt;=Timeline!$K10,EOMONTH(AD$4,0)&gt;=Timeline!$H10),"P",IF(AND(ISNUMBER(Timeline!$K10),ISNUMBER(Timeline!$O10),AD$4&lt;=Timeline!$O10,EOMONTH(AD$4,0)&gt;Timeline!$K10),"S",""))))</f>
        <v/>
      </c>
      <c r="AE5" s="17" t="str">
        <f aca="false">IF(AND(ISNUMBER(Timeline!$E10),ISNUMBER(Timeline!$F10),AE$4&lt;=Timeline!$F10,EOMONTH(AE$4,0)&gt;=Timeline!$E10),"C",IF(AND(ISNUMBER(Timeline!$F10),ISNUMBER(Timeline!$K10),AE$4&lt;=Timeline!$K10,EOMONTH(AE$4,0)&gt;Timeline!$F10),"P",IF(AND(ISNUMBER(Timeline!$H10),ISNUMBER(Timeline!$K10),NOT(ISNUMBER(Timeline!$F10)),AE$4&lt;=Timeline!$K10,EOMONTH(AE$4,0)&gt;=Timeline!$H10),"P",IF(AND(ISNUMBER(Timeline!$K10),ISNUMBER(Timeline!$O10),AE$4&lt;=Timeline!$O10,EOMONTH(AE$4,0)&gt;Timeline!$K10),"S",""))))</f>
        <v/>
      </c>
      <c r="AF5" s="17" t="str">
        <f aca="false">IF(AND(ISNUMBER(Timeline!$E10),ISNUMBER(Timeline!$F10),AF$4&lt;=Timeline!$F10,EOMONTH(AF$4,0)&gt;=Timeline!$E10),"C",IF(AND(ISNUMBER(Timeline!$F10),ISNUMBER(Timeline!$K10),AF$4&lt;=Timeline!$K10,EOMONTH(AF$4,0)&gt;Timeline!$F10),"P",IF(AND(ISNUMBER(Timeline!$H10),ISNUMBER(Timeline!$K10),NOT(ISNUMBER(Timeline!$F10)),AF$4&lt;=Timeline!$K10,EOMONTH(AF$4,0)&gt;=Timeline!$H10),"P",IF(AND(ISNUMBER(Timeline!$K10),ISNUMBER(Timeline!$O10),AF$4&lt;=Timeline!$O10,EOMONTH(AF$4,0)&gt;Timeline!$K10),"S",""))))</f>
        <v/>
      </c>
      <c r="AG5" s="17" t="str">
        <f aca="false">IF(AND(ISNUMBER(Timeline!$E10),ISNUMBER(Timeline!$F10),AG$4&lt;=Timeline!$F10,EOMONTH(AG$4,0)&gt;=Timeline!$E10),"C",IF(AND(ISNUMBER(Timeline!$F10),ISNUMBER(Timeline!$K10),AG$4&lt;=Timeline!$K10,EOMONTH(AG$4,0)&gt;Timeline!$F10),"P",IF(AND(ISNUMBER(Timeline!$H10),ISNUMBER(Timeline!$K10),NOT(ISNUMBER(Timeline!$F10)),AG$4&lt;=Timeline!$K10,EOMONTH(AG$4,0)&gt;=Timeline!$H10),"P",IF(AND(ISNUMBER(Timeline!$K10),ISNUMBER(Timeline!$O10),AG$4&lt;=Timeline!$O10,EOMONTH(AG$4,0)&gt;Timeline!$K10),"S",""))))</f>
        <v/>
      </c>
      <c r="AH5" s="17" t="str">
        <f aca="false">IF(AND(ISNUMBER(Timeline!$E10),ISNUMBER(Timeline!$F10),AH$4&lt;=Timeline!$F10,EOMONTH(AH$4,0)&gt;=Timeline!$E10),"C",IF(AND(ISNUMBER(Timeline!$F10),ISNUMBER(Timeline!$K10),AH$4&lt;=Timeline!$K10,EOMONTH(AH$4,0)&gt;Timeline!$F10),"P",IF(AND(ISNUMBER(Timeline!$H10),ISNUMBER(Timeline!$K10),NOT(ISNUMBER(Timeline!$F10)),AH$4&lt;=Timeline!$K10,EOMONTH(AH$4,0)&gt;=Timeline!$H10),"P",IF(AND(ISNUMBER(Timeline!$K10),ISNUMBER(Timeline!$O10),AH$4&lt;=Timeline!$O10,EOMONTH(AH$4,0)&gt;Timeline!$K10),"S",""))))</f>
        <v/>
      </c>
    </row>
    <row r="6" customFormat="false" ht="15" hidden="false" customHeight="false" outlineLevel="0" collapsed="false">
      <c r="A6" s="5" t="n">
        <v>2</v>
      </c>
      <c r="B6" s="16" t="s">
        <v>32</v>
      </c>
      <c r="C6" s="16" t="s">
        <v>26</v>
      </c>
      <c r="D6" s="17" t="str">
        <f aca="false">IF(AND(ISNUMBER(Timeline!$E11),ISNUMBER(Timeline!$F11),D$4&lt;=Timeline!$F11,EOMONTH(D$4,0)&gt;=Timeline!$E11),"C",IF(AND(ISNUMBER(Timeline!$F11),ISNUMBER(Timeline!$K11),D$4&lt;=Timeline!$K11,EOMONTH(D$4,0)&gt;Timeline!$F11),"P",IF(AND(ISNUMBER(Timeline!$H11),ISNUMBER(Timeline!$K11),NOT(ISNUMBER(Timeline!$F11)),D$4&lt;=Timeline!$K11,EOMONTH(D$4,0)&gt;=Timeline!$H11),"P",IF(AND(ISNUMBER(Timeline!$K11),ISNUMBER(Timeline!$O11),D$4&lt;=Timeline!$O11,EOMONTH(D$4,0)&gt;Timeline!$K11),"S",""))))</f>
        <v>P</v>
      </c>
      <c r="E6" s="17" t="str">
        <f aca="false">IF(AND(ISNUMBER(Timeline!$E11),ISNUMBER(Timeline!$F11),E$4&lt;=Timeline!$F11,EOMONTH(E$4,0)&gt;=Timeline!$E11),"C",IF(AND(ISNUMBER(Timeline!$F11),ISNUMBER(Timeline!$K11),E$4&lt;=Timeline!$K11,EOMONTH(E$4,0)&gt;Timeline!$F11),"P",IF(AND(ISNUMBER(Timeline!$H11),ISNUMBER(Timeline!$K11),NOT(ISNUMBER(Timeline!$F11)),E$4&lt;=Timeline!$K11,EOMONTH(E$4,0)&gt;=Timeline!$H11),"P",IF(AND(ISNUMBER(Timeline!$K11),ISNUMBER(Timeline!$O11),E$4&lt;=Timeline!$O11,EOMONTH(E$4,0)&gt;Timeline!$K11),"S",""))))</f>
        <v>P</v>
      </c>
      <c r="F6" s="17" t="str">
        <f aca="false">IF(AND(ISNUMBER(Timeline!$E11),ISNUMBER(Timeline!$F11),F$4&lt;=Timeline!$F11,EOMONTH(F$4,0)&gt;=Timeline!$E11),"C",IF(AND(ISNUMBER(Timeline!$F11),ISNUMBER(Timeline!$K11),F$4&lt;=Timeline!$K11,EOMONTH(F$4,0)&gt;Timeline!$F11),"P",IF(AND(ISNUMBER(Timeline!$H11),ISNUMBER(Timeline!$K11),NOT(ISNUMBER(Timeline!$F11)),F$4&lt;=Timeline!$K11,EOMONTH(F$4,0)&gt;=Timeline!$H11),"P",IF(AND(ISNUMBER(Timeline!$K11),ISNUMBER(Timeline!$O11),F$4&lt;=Timeline!$O11,EOMONTH(F$4,0)&gt;Timeline!$K11),"S",""))))</f>
        <v>P</v>
      </c>
      <c r="G6" s="17" t="str">
        <f aca="false">IF(AND(ISNUMBER(Timeline!$E11),ISNUMBER(Timeline!$F11),G$4&lt;=Timeline!$F11,EOMONTH(G$4,0)&gt;=Timeline!$E11),"C",IF(AND(ISNUMBER(Timeline!$F11),ISNUMBER(Timeline!$K11),G$4&lt;=Timeline!$K11,EOMONTH(G$4,0)&gt;Timeline!$F11),"P",IF(AND(ISNUMBER(Timeline!$H11),ISNUMBER(Timeline!$K11),NOT(ISNUMBER(Timeline!$F11)),G$4&lt;=Timeline!$K11,EOMONTH(G$4,0)&gt;=Timeline!$H11),"P",IF(AND(ISNUMBER(Timeline!$K11),ISNUMBER(Timeline!$O11),G$4&lt;=Timeline!$O11,EOMONTH(G$4,0)&gt;Timeline!$K11),"S",""))))</f>
        <v>P</v>
      </c>
      <c r="H6" s="17" t="str">
        <f aca="false">IF(AND(ISNUMBER(Timeline!$E11),ISNUMBER(Timeline!$F11),H$4&lt;=Timeline!$F11,EOMONTH(H$4,0)&gt;=Timeline!$E11),"C",IF(AND(ISNUMBER(Timeline!$F11),ISNUMBER(Timeline!$K11),H$4&lt;=Timeline!$K11,EOMONTH(H$4,0)&gt;Timeline!$F11),"P",IF(AND(ISNUMBER(Timeline!$H11),ISNUMBER(Timeline!$K11),NOT(ISNUMBER(Timeline!$F11)),H$4&lt;=Timeline!$K11,EOMONTH(H$4,0)&gt;=Timeline!$H11),"P",IF(AND(ISNUMBER(Timeline!$K11),ISNUMBER(Timeline!$O11),H$4&lt;=Timeline!$O11,EOMONTH(H$4,0)&gt;Timeline!$K11),"S",""))))</f>
        <v>P</v>
      </c>
      <c r="I6" s="17" t="str">
        <f aca="false">IF(AND(ISNUMBER(Timeline!$E11),ISNUMBER(Timeline!$F11),I$4&lt;=Timeline!$F11,EOMONTH(I$4,0)&gt;=Timeline!$E11),"C",IF(AND(ISNUMBER(Timeline!$F11),ISNUMBER(Timeline!$K11),I$4&lt;=Timeline!$K11,EOMONTH(I$4,0)&gt;Timeline!$F11),"P",IF(AND(ISNUMBER(Timeline!$H11),ISNUMBER(Timeline!$K11),NOT(ISNUMBER(Timeline!$F11)),I$4&lt;=Timeline!$K11,EOMONTH(I$4,0)&gt;=Timeline!$H11),"P",IF(AND(ISNUMBER(Timeline!$K11),ISNUMBER(Timeline!$O11),I$4&lt;=Timeline!$O11,EOMONTH(I$4,0)&gt;Timeline!$K11),"S",""))))</f>
        <v>P</v>
      </c>
      <c r="J6" s="17" t="str">
        <f aca="false">IF(AND(ISNUMBER(Timeline!$E11),ISNUMBER(Timeline!$F11),J$4&lt;=Timeline!$F11,EOMONTH(J$4,0)&gt;=Timeline!$E11),"C",IF(AND(ISNUMBER(Timeline!$F11),ISNUMBER(Timeline!$K11),J$4&lt;=Timeline!$K11,EOMONTH(J$4,0)&gt;Timeline!$F11),"P",IF(AND(ISNUMBER(Timeline!$H11),ISNUMBER(Timeline!$K11),NOT(ISNUMBER(Timeline!$F11)),J$4&lt;=Timeline!$K11,EOMONTH(J$4,0)&gt;=Timeline!$H11),"P",IF(AND(ISNUMBER(Timeline!$K11),ISNUMBER(Timeline!$O11),J$4&lt;=Timeline!$O11,EOMONTH(J$4,0)&gt;Timeline!$K11),"S",""))))</f>
        <v>P</v>
      </c>
      <c r="K6" s="17" t="str">
        <f aca="false">IF(AND(ISNUMBER(Timeline!$E11),ISNUMBER(Timeline!$F11),K$4&lt;=Timeline!$F11,EOMONTH(K$4,0)&gt;=Timeline!$E11),"C",IF(AND(ISNUMBER(Timeline!$F11),ISNUMBER(Timeline!$K11),K$4&lt;=Timeline!$K11,EOMONTH(K$4,0)&gt;Timeline!$F11),"P",IF(AND(ISNUMBER(Timeline!$H11),ISNUMBER(Timeline!$K11),NOT(ISNUMBER(Timeline!$F11)),K$4&lt;=Timeline!$K11,EOMONTH(K$4,0)&gt;=Timeline!$H11),"P",IF(AND(ISNUMBER(Timeline!$K11),ISNUMBER(Timeline!$O11),K$4&lt;=Timeline!$O11,EOMONTH(K$4,0)&gt;Timeline!$K11),"S",""))))</f>
        <v>P</v>
      </c>
      <c r="L6" s="17" t="str">
        <f aca="false">IF(AND(ISNUMBER(Timeline!$E11),ISNUMBER(Timeline!$F11),L$4&lt;=Timeline!$F11,EOMONTH(L$4,0)&gt;=Timeline!$E11),"C",IF(AND(ISNUMBER(Timeline!$F11),ISNUMBER(Timeline!$K11),L$4&lt;=Timeline!$K11,EOMONTH(L$4,0)&gt;Timeline!$F11),"P",IF(AND(ISNUMBER(Timeline!$H11),ISNUMBER(Timeline!$K11),NOT(ISNUMBER(Timeline!$F11)),L$4&lt;=Timeline!$K11,EOMONTH(L$4,0)&gt;=Timeline!$H11),"P",IF(AND(ISNUMBER(Timeline!$K11),ISNUMBER(Timeline!$O11),L$4&lt;=Timeline!$O11,EOMONTH(L$4,0)&gt;Timeline!$K11),"S",""))))</f>
        <v>S</v>
      </c>
      <c r="M6" s="17" t="str">
        <f aca="false">IF(AND(ISNUMBER(Timeline!$E11),ISNUMBER(Timeline!$F11),M$4&lt;=Timeline!$F11,EOMONTH(M$4,0)&gt;=Timeline!$E11),"C",IF(AND(ISNUMBER(Timeline!$F11),ISNUMBER(Timeline!$K11),M$4&lt;=Timeline!$K11,EOMONTH(M$4,0)&gt;Timeline!$F11),"P",IF(AND(ISNUMBER(Timeline!$H11),ISNUMBER(Timeline!$K11),NOT(ISNUMBER(Timeline!$F11)),M$4&lt;=Timeline!$K11,EOMONTH(M$4,0)&gt;=Timeline!$H11),"P",IF(AND(ISNUMBER(Timeline!$K11),ISNUMBER(Timeline!$O11),M$4&lt;=Timeline!$O11,EOMONTH(M$4,0)&gt;Timeline!$K11),"S",""))))</f>
        <v>S</v>
      </c>
      <c r="N6" s="17" t="str">
        <f aca="false">IF(AND(ISNUMBER(Timeline!$E11),ISNUMBER(Timeline!$F11),N$4&lt;=Timeline!$F11,EOMONTH(N$4,0)&gt;=Timeline!$E11),"C",IF(AND(ISNUMBER(Timeline!$F11),ISNUMBER(Timeline!$K11),N$4&lt;=Timeline!$K11,EOMONTH(N$4,0)&gt;Timeline!$F11),"P",IF(AND(ISNUMBER(Timeline!$H11),ISNUMBER(Timeline!$K11),NOT(ISNUMBER(Timeline!$F11)),N$4&lt;=Timeline!$K11,EOMONTH(N$4,0)&gt;=Timeline!$H11),"P",IF(AND(ISNUMBER(Timeline!$K11),ISNUMBER(Timeline!$O11),N$4&lt;=Timeline!$O11,EOMONTH(N$4,0)&gt;Timeline!$K11),"S",""))))</f>
        <v>S</v>
      </c>
      <c r="O6" s="17" t="str">
        <f aca="false">IF(AND(ISNUMBER(Timeline!$E11),ISNUMBER(Timeline!$F11),O$4&lt;=Timeline!$F11,EOMONTH(O$4,0)&gt;=Timeline!$E11),"C",IF(AND(ISNUMBER(Timeline!$F11),ISNUMBER(Timeline!$K11),O$4&lt;=Timeline!$K11,EOMONTH(O$4,0)&gt;Timeline!$F11),"P",IF(AND(ISNUMBER(Timeline!$H11),ISNUMBER(Timeline!$K11),NOT(ISNUMBER(Timeline!$F11)),O$4&lt;=Timeline!$K11,EOMONTH(O$4,0)&gt;=Timeline!$H11),"P",IF(AND(ISNUMBER(Timeline!$K11),ISNUMBER(Timeline!$O11),O$4&lt;=Timeline!$O11,EOMONTH(O$4,0)&gt;Timeline!$K11),"S",""))))</f>
        <v/>
      </c>
      <c r="P6" s="17" t="str">
        <f aca="false">IF(AND(ISNUMBER(Timeline!$E11),ISNUMBER(Timeline!$F11),P$4&lt;=Timeline!$F11,EOMONTH(P$4,0)&gt;=Timeline!$E11),"C",IF(AND(ISNUMBER(Timeline!$F11),ISNUMBER(Timeline!$K11),P$4&lt;=Timeline!$K11,EOMONTH(P$4,0)&gt;Timeline!$F11),"P",IF(AND(ISNUMBER(Timeline!$H11),ISNUMBER(Timeline!$K11),NOT(ISNUMBER(Timeline!$F11)),P$4&lt;=Timeline!$K11,EOMONTH(P$4,0)&gt;=Timeline!$H11),"P",IF(AND(ISNUMBER(Timeline!$K11),ISNUMBER(Timeline!$O11),P$4&lt;=Timeline!$O11,EOMONTH(P$4,0)&gt;Timeline!$K11),"S",""))))</f>
        <v/>
      </c>
      <c r="Q6" s="17" t="str">
        <f aca="false">IF(AND(ISNUMBER(Timeline!$E11),ISNUMBER(Timeline!$F11),Q$4&lt;=Timeline!$F11,EOMONTH(Q$4,0)&gt;=Timeline!$E11),"C",IF(AND(ISNUMBER(Timeline!$F11),ISNUMBER(Timeline!$K11),Q$4&lt;=Timeline!$K11,EOMONTH(Q$4,0)&gt;Timeline!$F11),"P",IF(AND(ISNUMBER(Timeline!$H11),ISNUMBER(Timeline!$K11),NOT(ISNUMBER(Timeline!$F11)),Q$4&lt;=Timeline!$K11,EOMONTH(Q$4,0)&gt;=Timeline!$H11),"P",IF(AND(ISNUMBER(Timeline!$K11),ISNUMBER(Timeline!$O11),Q$4&lt;=Timeline!$O11,EOMONTH(Q$4,0)&gt;Timeline!$K11),"S",""))))</f>
        <v/>
      </c>
      <c r="R6" s="17" t="str">
        <f aca="false">IF(AND(ISNUMBER(Timeline!$E11),ISNUMBER(Timeline!$F11),R$4&lt;=Timeline!$F11,EOMONTH(R$4,0)&gt;=Timeline!$E11),"C",IF(AND(ISNUMBER(Timeline!$F11),ISNUMBER(Timeline!$K11),R$4&lt;=Timeline!$K11,EOMONTH(R$4,0)&gt;Timeline!$F11),"P",IF(AND(ISNUMBER(Timeline!$H11),ISNUMBER(Timeline!$K11),NOT(ISNUMBER(Timeline!$F11)),R$4&lt;=Timeline!$K11,EOMONTH(R$4,0)&gt;=Timeline!$H11),"P",IF(AND(ISNUMBER(Timeline!$K11),ISNUMBER(Timeline!$O11),R$4&lt;=Timeline!$O11,EOMONTH(R$4,0)&gt;Timeline!$K11),"S",""))))</f>
        <v/>
      </c>
      <c r="S6" s="17" t="str">
        <f aca="false">IF(AND(ISNUMBER(Timeline!$E11),ISNUMBER(Timeline!$F11),S$4&lt;=Timeline!$F11,EOMONTH(S$4,0)&gt;=Timeline!$E11),"C",IF(AND(ISNUMBER(Timeline!$F11),ISNUMBER(Timeline!$K11),S$4&lt;=Timeline!$K11,EOMONTH(S$4,0)&gt;Timeline!$F11),"P",IF(AND(ISNUMBER(Timeline!$H11),ISNUMBER(Timeline!$K11),NOT(ISNUMBER(Timeline!$F11)),S$4&lt;=Timeline!$K11,EOMONTH(S$4,0)&gt;=Timeline!$H11),"P",IF(AND(ISNUMBER(Timeline!$K11),ISNUMBER(Timeline!$O11),S$4&lt;=Timeline!$O11,EOMONTH(S$4,0)&gt;Timeline!$K11),"S",""))))</f>
        <v/>
      </c>
      <c r="T6" s="17" t="str">
        <f aca="false">IF(AND(ISNUMBER(Timeline!$E11),ISNUMBER(Timeline!$F11),T$4&lt;=Timeline!$F11,EOMONTH(T$4,0)&gt;=Timeline!$E11),"C",IF(AND(ISNUMBER(Timeline!$F11),ISNUMBER(Timeline!$K11),T$4&lt;=Timeline!$K11,EOMONTH(T$4,0)&gt;Timeline!$F11),"P",IF(AND(ISNUMBER(Timeline!$H11),ISNUMBER(Timeline!$K11),NOT(ISNUMBER(Timeline!$F11)),T$4&lt;=Timeline!$K11,EOMONTH(T$4,0)&gt;=Timeline!$H11),"P",IF(AND(ISNUMBER(Timeline!$K11),ISNUMBER(Timeline!$O11),T$4&lt;=Timeline!$O11,EOMONTH(T$4,0)&gt;Timeline!$K11),"S",""))))</f>
        <v/>
      </c>
      <c r="U6" s="17" t="str">
        <f aca="false">IF(AND(ISNUMBER(Timeline!$E11),ISNUMBER(Timeline!$F11),U$4&lt;=Timeline!$F11,EOMONTH(U$4,0)&gt;=Timeline!$E11),"C",IF(AND(ISNUMBER(Timeline!$F11),ISNUMBER(Timeline!$K11),U$4&lt;=Timeline!$K11,EOMONTH(U$4,0)&gt;Timeline!$F11),"P",IF(AND(ISNUMBER(Timeline!$H11),ISNUMBER(Timeline!$K11),NOT(ISNUMBER(Timeline!$F11)),U$4&lt;=Timeline!$K11,EOMONTH(U$4,0)&gt;=Timeline!$H11),"P",IF(AND(ISNUMBER(Timeline!$K11),ISNUMBER(Timeline!$O11),U$4&lt;=Timeline!$O11,EOMONTH(U$4,0)&gt;Timeline!$K11),"S",""))))</f>
        <v/>
      </c>
      <c r="V6" s="17" t="str">
        <f aca="false">IF(AND(ISNUMBER(Timeline!$E11),ISNUMBER(Timeline!$F11),V$4&lt;=Timeline!$F11,EOMONTH(V$4,0)&gt;=Timeline!$E11),"C",IF(AND(ISNUMBER(Timeline!$F11),ISNUMBER(Timeline!$K11),V$4&lt;=Timeline!$K11,EOMONTH(V$4,0)&gt;Timeline!$F11),"P",IF(AND(ISNUMBER(Timeline!$H11),ISNUMBER(Timeline!$K11),NOT(ISNUMBER(Timeline!$F11)),V$4&lt;=Timeline!$K11,EOMONTH(V$4,0)&gt;=Timeline!$H11),"P",IF(AND(ISNUMBER(Timeline!$K11),ISNUMBER(Timeline!$O11),V$4&lt;=Timeline!$O11,EOMONTH(V$4,0)&gt;Timeline!$K11),"S",""))))</f>
        <v/>
      </c>
      <c r="W6" s="17" t="str">
        <f aca="false">IF(AND(ISNUMBER(Timeline!$E11),ISNUMBER(Timeline!$F11),W$4&lt;=Timeline!$F11,EOMONTH(W$4,0)&gt;=Timeline!$E11),"C",IF(AND(ISNUMBER(Timeline!$F11),ISNUMBER(Timeline!$K11),W$4&lt;=Timeline!$K11,EOMONTH(W$4,0)&gt;Timeline!$F11),"P",IF(AND(ISNUMBER(Timeline!$H11),ISNUMBER(Timeline!$K11),NOT(ISNUMBER(Timeline!$F11)),W$4&lt;=Timeline!$K11,EOMONTH(W$4,0)&gt;=Timeline!$H11),"P",IF(AND(ISNUMBER(Timeline!$K11),ISNUMBER(Timeline!$O11),W$4&lt;=Timeline!$O11,EOMONTH(W$4,0)&gt;Timeline!$K11),"S",""))))</f>
        <v/>
      </c>
      <c r="X6" s="17" t="str">
        <f aca="false">IF(AND(ISNUMBER(Timeline!$E11),ISNUMBER(Timeline!$F11),X$4&lt;=Timeline!$F11,EOMONTH(X$4,0)&gt;=Timeline!$E11),"C",IF(AND(ISNUMBER(Timeline!$F11),ISNUMBER(Timeline!$K11),X$4&lt;=Timeline!$K11,EOMONTH(X$4,0)&gt;Timeline!$F11),"P",IF(AND(ISNUMBER(Timeline!$H11),ISNUMBER(Timeline!$K11),NOT(ISNUMBER(Timeline!$F11)),X$4&lt;=Timeline!$K11,EOMONTH(X$4,0)&gt;=Timeline!$H11),"P",IF(AND(ISNUMBER(Timeline!$K11),ISNUMBER(Timeline!$O11),X$4&lt;=Timeline!$O11,EOMONTH(X$4,0)&gt;Timeline!$K11),"S",""))))</f>
        <v/>
      </c>
      <c r="Y6" s="17" t="str">
        <f aca="false">IF(AND(ISNUMBER(Timeline!$E11),ISNUMBER(Timeline!$F11),Y$4&lt;=Timeline!$F11,EOMONTH(Y$4,0)&gt;=Timeline!$E11),"C",IF(AND(ISNUMBER(Timeline!$F11),ISNUMBER(Timeline!$K11),Y$4&lt;=Timeline!$K11,EOMONTH(Y$4,0)&gt;Timeline!$F11),"P",IF(AND(ISNUMBER(Timeline!$H11),ISNUMBER(Timeline!$K11),NOT(ISNUMBER(Timeline!$F11)),Y$4&lt;=Timeline!$K11,EOMONTH(Y$4,0)&gt;=Timeline!$H11),"P",IF(AND(ISNUMBER(Timeline!$K11),ISNUMBER(Timeline!$O11),Y$4&lt;=Timeline!$O11,EOMONTH(Y$4,0)&gt;Timeline!$K11),"S",""))))</f>
        <v/>
      </c>
      <c r="Z6" s="17" t="str">
        <f aca="false">IF(AND(ISNUMBER(Timeline!$E11),ISNUMBER(Timeline!$F11),Z$4&lt;=Timeline!$F11,EOMONTH(Z$4,0)&gt;=Timeline!$E11),"C",IF(AND(ISNUMBER(Timeline!$F11),ISNUMBER(Timeline!$K11),Z$4&lt;=Timeline!$K11,EOMONTH(Z$4,0)&gt;Timeline!$F11),"P",IF(AND(ISNUMBER(Timeline!$H11),ISNUMBER(Timeline!$K11),NOT(ISNUMBER(Timeline!$F11)),Z$4&lt;=Timeline!$K11,EOMONTH(Z$4,0)&gt;=Timeline!$H11),"P",IF(AND(ISNUMBER(Timeline!$K11),ISNUMBER(Timeline!$O11),Z$4&lt;=Timeline!$O11,EOMONTH(Z$4,0)&gt;Timeline!$K11),"S",""))))</f>
        <v/>
      </c>
      <c r="AA6" s="17" t="str">
        <f aca="false">IF(AND(ISNUMBER(Timeline!$E11),ISNUMBER(Timeline!$F11),AA$4&lt;=Timeline!$F11,EOMONTH(AA$4,0)&gt;=Timeline!$E11),"C",IF(AND(ISNUMBER(Timeline!$F11),ISNUMBER(Timeline!$K11),AA$4&lt;=Timeline!$K11,EOMONTH(AA$4,0)&gt;Timeline!$F11),"P",IF(AND(ISNUMBER(Timeline!$H11),ISNUMBER(Timeline!$K11),NOT(ISNUMBER(Timeline!$F11)),AA$4&lt;=Timeline!$K11,EOMONTH(AA$4,0)&gt;=Timeline!$H11),"P",IF(AND(ISNUMBER(Timeline!$K11),ISNUMBER(Timeline!$O11),AA$4&lt;=Timeline!$O11,EOMONTH(AA$4,0)&gt;Timeline!$K11),"S",""))))</f>
        <v/>
      </c>
      <c r="AB6" s="17" t="str">
        <f aca="false">IF(AND(ISNUMBER(Timeline!$E11),ISNUMBER(Timeline!$F11),AB$4&lt;=Timeline!$F11,EOMONTH(AB$4,0)&gt;=Timeline!$E11),"C",IF(AND(ISNUMBER(Timeline!$F11),ISNUMBER(Timeline!$K11),AB$4&lt;=Timeline!$K11,EOMONTH(AB$4,0)&gt;Timeline!$F11),"P",IF(AND(ISNUMBER(Timeline!$H11),ISNUMBER(Timeline!$K11),NOT(ISNUMBER(Timeline!$F11)),AB$4&lt;=Timeline!$K11,EOMONTH(AB$4,0)&gt;=Timeline!$H11),"P",IF(AND(ISNUMBER(Timeline!$K11),ISNUMBER(Timeline!$O11),AB$4&lt;=Timeline!$O11,EOMONTH(AB$4,0)&gt;Timeline!$K11),"S",""))))</f>
        <v/>
      </c>
      <c r="AC6" s="17" t="str">
        <f aca="false">IF(AND(ISNUMBER(Timeline!$E11),ISNUMBER(Timeline!$F11),AC$4&lt;=Timeline!$F11,EOMONTH(AC$4,0)&gt;=Timeline!$E11),"C",IF(AND(ISNUMBER(Timeline!$F11),ISNUMBER(Timeline!$K11),AC$4&lt;=Timeline!$K11,EOMONTH(AC$4,0)&gt;Timeline!$F11),"P",IF(AND(ISNUMBER(Timeline!$H11),ISNUMBER(Timeline!$K11),NOT(ISNUMBER(Timeline!$F11)),AC$4&lt;=Timeline!$K11,EOMONTH(AC$4,0)&gt;=Timeline!$H11),"P",IF(AND(ISNUMBER(Timeline!$K11),ISNUMBER(Timeline!$O11),AC$4&lt;=Timeline!$O11,EOMONTH(AC$4,0)&gt;Timeline!$K11),"S",""))))</f>
        <v/>
      </c>
      <c r="AD6" s="17" t="str">
        <f aca="false">IF(AND(ISNUMBER(Timeline!$E11),ISNUMBER(Timeline!$F11),AD$4&lt;=Timeline!$F11,EOMONTH(AD$4,0)&gt;=Timeline!$E11),"C",IF(AND(ISNUMBER(Timeline!$F11),ISNUMBER(Timeline!$K11),AD$4&lt;=Timeline!$K11,EOMONTH(AD$4,0)&gt;Timeline!$F11),"P",IF(AND(ISNUMBER(Timeline!$H11),ISNUMBER(Timeline!$K11),NOT(ISNUMBER(Timeline!$F11)),AD$4&lt;=Timeline!$K11,EOMONTH(AD$4,0)&gt;=Timeline!$H11),"P",IF(AND(ISNUMBER(Timeline!$K11),ISNUMBER(Timeline!$O11),AD$4&lt;=Timeline!$O11,EOMONTH(AD$4,0)&gt;Timeline!$K11),"S",""))))</f>
        <v/>
      </c>
      <c r="AE6" s="17" t="str">
        <f aca="false">IF(AND(ISNUMBER(Timeline!$E11),ISNUMBER(Timeline!$F11),AE$4&lt;=Timeline!$F11,EOMONTH(AE$4,0)&gt;=Timeline!$E11),"C",IF(AND(ISNUMBER(Timeline!$F11),ISNUMBER(Timeline!$K11),AE$4&lt;=Timeline!$K11,EOMONTH(AE$4,0)&gt;Timeline!$F11),"P",IF(AND(ISNUMBER(Timeline!$H11),ISNUMBER(Timeline!$K11),NOT(ISNUMBER(Timeline!$F11)),AE$4&lt;=Timeline!$K11,EOMONTH(AE$4,0)&gt;=Timeline!$H11),"P",IF(AND(ISNUMBER(Timeline!$K11),ISNUMBER(Timeline!$O11),AE$4&lt;=Timeline!$O11,EOMONTH(AE$4,0)&gt;Timeline!$K11),"S",""))))</f>
        <v/>
      </c>
      <c r="AF6" s="17" t="str">
        <f aca="false">IF(AND(ISNUMBER(Timeline!$E11),ISNUMBER(Timeline!$F11),AF$4&lt;=Timeline!$F11,EOMONTH(AF$4,0)&gt;=Timeline!$E11),"C",IF(AND(ISNUMBER(Timeline!$F11),ISNUMBER(Timeline!$K11),AF$4&lt;=Timeline!$K11,EOMONTH(AF$4,0)&gt;Timeline!$F11),"P",IF(AND(ISNUMBER(Timeline!$H11),ISNUMBER(Timeline!$K11),NOT(ISNUMBER(Timeline!$F11)),AF$4&lt;=Timeline!$K11,EOMONTH(AF$4,0)&gt;=Timeline!$H11),"P",IF(AND(ISNUMBER(Timeline!$K11),ISNUMBER(Timeline!$O11),AF$4&lt;=Timeline!$O11,EOMONTH(AF$4,0)&gt;Timeline!$K11),"S",""))))</f>
        <v/>
      </c>
      <c r="AG6" s="17" t="str">
        <f aca="false">IF(AND(ISNUMBER(Timeline!$E11),ISNUMBER(Timeline!$F11),AG$4&lt;=Timeline!$F11,EOMONTH(AG$4,0)&gt;=Timeline!$E11),"C",IF(AND(ISNUMBER(Timeline!$F11),ISNUMBER(Timeline!$K11),AG$4&lt;=Timeline!$K11,EOMONTH(AG$4,0)&gt;Timeline!$F11),"P",IF(AND(ISNUMBER(Timeline!$H11),ISNUMBER(Timeline!$K11),NOT(ISNUMBER(Timeline!$F11)),AG$4&lt;=Timeline!$K11,EOMONTH(AG$4,0)&gt;=Timeline!$H11),"P",IF(AND(ISNUMBER(Timeline!$K11),ISNUMBER(Timeline!$O11),AG$4&lt;=Timeline!$O11,EOMONTH(AG$4,0)&gt;Timeline!$K11),"S",""))))</f>
        <v/>
      </c>
      <c r="AH6" s="17" t="str">
        <f aca="false">IF(AND(ISNUMBER(Timeline!$E11),ISNUMBER(Timeline!$F11),AH$4&lt;=Timeline!$F11,EOMONTH(AH$4,0)&gt;=Timeline!$E11),"C",IF(AND(ISNUMBER(Timeline!$F11),ISNUMBER(Timeline!$K11),AH$4&lt;=Timeline!$K11,EOMONTH(AH$4,0)&gt;Timeline!$F11),"P",IF(AND(ISNUMBER(Timeline!$H11),ISNUMBER(Timeline!$K11),NOT(ISNUMBER(Timeline!$F11)),AH$4&lt;=Timeline!$K11,EOMONTH(AH$4,0)&gt;=Timeline!$H11),"P",IF(AND(ISNUMBER(Timeline!$K11),ISNUMBER(Timeline!$O11),AH$4&lt;=Timeline!$O11,EOMONTH(AH$4,0)&gt;Timeline!$K11),"S",""))))</f>
        <v/>
      </c>
    </row>
    <row r="7" customFormat="false" ht="15" hidden="false" customHeight="false" outlineLevel="0" collapsed="false">
      <c r="A7" s="5" t="n">
        <v>3</v>
      </c>
      <c r="B7" s="16" t="s">
        <v>35</v>
      </c>
      <c r="C7" s="16" t="s">
        <v>33</v>
      </c>
      <c r="D7" s="17" t="str">
        <f aca="false">IF(AND(ISNUMBER(Timeline!$E12),ISNUMBER(Timeline!$F12),D$4&lt;=Timeline!$F12,EOMONTH(D$4,0)&gt;=Timeline!$E12),"C",IF(AND(ISNUMBER(Timeline!$F12),ISNUMBER(Timeline!$K12),D$4&lt;=Timeline!$K12,EOMONTH(D$4,0)&gt;Timeline!$F12),"P",IF(AND(ISNUMBER(Timeline!$H12),ISNUMBER(Timeline!$K12),NOT(ISNUMBER(Timeline!$F12)),D$4&lt;=Timeline!$K12,EOMONTH(D$4,0)&gt;=Timeline!$H12),"P",IF(AND(ISNUMBER(Timeline!$K12),ISNUMBER(Timeline!$O12),D$4&lt;=Timeline!$O12,EOMONTH(D$4,0)&gt;Timeline!$K12),"S",""))))</f>
        <v>C</v>
      </c>
      <c r="E7" s="17" t="str">
        <f aca="false">IF(AND(ISNUMBER(Timeline!$E12),ISNUMBER(Timeline!$F12),E$4&lt;=Timeline!$F12,EOMONTH(E$4,0)&gt;=Timeline!$E12),"C",IF(AND(ISNUMBER(Timeline!$F12),ISNUMBER(Timeline!$K12),E$4&lt;=Timeline!$K12,EOMONTH(E$4,0)&gt;Timeline!$F12),"P",IF(AND(ISNUMBER(Timeline!$H12),ISNUMBER(Timeline!$K12),NOT(ISNUMBER(Timeline!$F12)),E$4&lt;=Timeline!$K12,EOMONTH(E$4,0)&gt;=Timeline!$H12),"P",IF(AND(ISNUMBER(Timeline!$K12),ISNUMBER(Timeline!$O12),E$4&lt;=Timeline!$O12,EOMONTH(E$4,0)&gt;Timeline!$K12),"S",""))))</f>
        <v>C</v>
      </c>
      <c r="F7" s="17" t="str">
        <f aca="false">IF(AND(ISNUMBER(Timeline!$E12),ISNUMBER(Timeline!$F12),F$4&lt;=Timeline!$F12,EOMONTH(F$4,0)&gt;=Timeline!$E12),"C",IF(AND(ISNUMBER(Timeline!$F12),ISNUMBER(Timeline!$K12),F$4&lt;=Timeline!$K12,EOMONTH(F$4,0)&gt;Timeline!$F12),"P",IF(AND(ISNUMBER(Timeline!$H12),ISNUMBER(Timeline!$K12),NOT(ISNUMBER(Timeline!$F12)),F$4&lt;=Timeline!$K12,EOMONTH(F$4,0)&gt;=Timeline!$H12),"P",IF(AND(ISNUMBER(Timeline!$K12),ISNUMBER(Timeline!$O12),F$4&lt;=Timeline!$O12,EOMONTH(F$4,0)&gt;Timeline!$K12),"S",""))))</f>
        <v>P</v>
      </c>
      <c r="G7" s="17" t="str">
        <f aca="false">IF(AND(ISNUMBER(Timeline!$E12),ISNUMBER(Timeline!$F12),G$4&lt;=Timeline!$F12,EOMONTH(G$4,0)&gt;=Timeline!$E12),"C",IF(AND(ISNUMBER(Timeline!$F12),ISNUMBER(Timeline!$K12),G$4&lt;=Timeline!$K12,EOMONTH(G$4,0)&gt;Timeline!$F12),"P",IF(AND(ISNUMBER(Timeline!$H12),ISNUMBER(Timeline!$K12),NOT(ISNUMBER(Timeline!$F12)),G$4&lt;=Timeline!$K12,EOMONTH(G$4,0)&gt;=Timeline!$H12),"P",IF(AND(ISNUMBER(Timeline!$K12),ISNUMBER(Timeline!$O12),G$4&lt;=Timeline!$O12,EOMONTH(G$4,0)&gt;Timeline!$K12),"S",""))))</f>
        <v>P</v>
      </c>
      <c r="H7" s="17" t="str">
        <f aca="false">IF(AND(ISNUMBER(Timeline!$E12),ISNUMBER(Timeline!$F12),H$4&lt;=Timeline!$F12,EOMONTH(H$4,0)&gt;=Timeline!$E12),"C",IF(AND(ISNUMBER(Timeline!$F12),ISNUMBER(Timeline!$K12),H$4&lt;=Timeline!$K12,EOMONTH(H$4,0)&gt;Timeline!$F12),"P",IF(AND(ISNUMBER(Timeline!$H12),ISNUMBER(Timeline!$K12),NOT(ISNUMBER(Timeline!$F12)),H$4&lt;=Timeline!$K12,EOMONTH(H$4,0)&gt;=Timeline!$H12),"P",IF(AND(ISNUMBER(Timeline!$K12),ISNUMBER(Timeline!$O12),H$4&lt;=Timeline!$O12,EOMONTH(H$4,0)&gt;Timeline!$K12),"S",""))))</f>
        <v>P</v>
      </c>
      <c r="I7" s="17" t="str">
        <f aca="false">IF(AND(ISNUMBER(Timeline!$E12),ISNUMBER(Timeline!$F12),I$4&lt;=Timeline!$F12,EOMONTH(I$4,0)&gt;=Timeline!$E12),"C",IF(AND(ISNUMBER(Timeline!$F12),ISNUMBER(Timeline!$K12),I$4&lt;=Timeline!$K12,EOMONTH(I$4,0)&gt;Timeline!$F12),"P",IF(AND(ISNUMBER(Timeline!$H12),ISNUMBER(Timeline!$K12),NOT(ISNUMBER(Timeline!$F12)),I$4&lt;=Timeline!$K12,EOMONTH(I$4,0)&gt;=Timeline!$H12),"P",IF(AND(ISNUMBER(Timeline!$K12),ISNUMBER(Timeline!$O12),I$4&lt;=Timeline!$O12,EOMONTH(I$4,0)&gt;Timeline!$K12),"S",""))))</f>
        <v>P</v>
      </c>
      <c r="J7" s="17" t="str">
        <f aca="false">IF(AND(ISNUMBER(Timeline!$E12),ISNUMBER(Timeline!$F12),J$4&lt;=Timeline!$F12,EOMONTH(J$4,0)&gt;=Timeline!$E12),"C",IF(AND(ISNUMBER(Timeline!$F12),ISNUMBER(Timeline!$K12),J$4&lt;=Timeline!$K12,EOMONTH(J$4,0)&gt;Timeline!$F12),"P",IF(AND(ISNUMBER(Timeline!$H12),ISNUMBER(Timeline!$K12),NOT(ISNUMBER(Timeline!$F12)),J$4&lt;=Timeline!$K12,EOMONTH(J$4,0)&gt;=Timeline!$H12),"P",IF(AND(ISNUMBER(Timeline!$K12),ISNUMBER(Timeline!$O12),J$4&lt;=Timeline!$O12,EOMONTH(J$4,0)&gt;Timeline!$K12),"S",""))))</f>
        <v>P</v>
      </c>
      <c r="K7" s="17" t="str">
        <f aca="false">IF(AND(ISNUMBER(Timeline!$E12),ISNUMBER(Timeline!$F12),K$4&lt;=Timeline!$F12,EOMONTH(K$4,0)&gt;=Timeline!$E12),"C",IF(AND(ISNUMBER(Timeline!$F12),ISNUMBER(Timeline!$K12),K$4&lt;=Timeline!$K12,EOMONTH(K$4,0)&gt;Timeline!$F12),"P",IF(AND(ISNUMBER(Timeline!$H12),ISNUMBER(Timeline!$K12),NOT(ISNUMBER(Timeline!$F12)),K$4&lt;=Timeline!$K12,EOMONTH(K$4,0)&gt;=Timeline!$H12),"P",IF(AND(ISNUMBER(Timeline!$K12),ISNUMBER(Timeline!$O12),K$4&lt;=Timeline!$O12,EOMONTH(K$4,0)&gt;Timeline!$K12),"S",""))))</f>
        <v>P</v>
      </c>
      <c r="L7" s="17" t="str">
        <f aca="false">IF(AND(ISNUMBER(Timeline!$E12),ISNUMBER(Timeline!$F12),L$4&lt;=Timeline!$F12,EOMONTH(L$4,0)&gt;=Timeline!$E12),"C",IF(AND(ISNUMBER(Timeline!$F12),ISNUMBER(Timeline!$K12),L$4&lt;=Timeline!$K12,EOMONTH(L$4,0)&gt;Timeline!$F12),"P",IF(AND(ISNUMBER(Timeline!$H12),ISNUMBER(Timeline!$K12),NOT(ISNUMBER(Timeline!$F12)),L$4&lt;=Timeline!$K12,EOMONTH(L$4,0)&gt;=Timeline!$H12),"P",IF(AND(ISNUMBER(Timeline!$K12),ISNUMBER(Timeline!$O12),L$4&lt;=Timeline!$O12,EOMONTH(L$4,0)&gt;Timeline!$K12),"S",""))))</f>
        <v>P</v>
      </c>
      <c r="M7" s="17" t="str">
        <f aca="false">IF(AND(ISNUMBER(Timeline!$E12),ISNUMBER(Timeline!$F12),M$4&lt;=Timeline!$F12,EOMONTH(M$4,0)&gt;=Timeline!$E12),"C",IF(AND(ISNUMBER(Timeline!$F12),ISNUMBER(Timeline!$K12),M$4&lt;=Timeline!$K12,EOMONTH(M$4,0)&gt;Timeline!$F12),"P",IF(AND(ISNUMBER(Timeline!$H12),ISNUMBER(Timeline!$K12),NOT(ISNUMBER(Timeline!$F12)),M$4&lt;=Timeline!$K12,EOMONTH(M$4,0)&gt;=Timeline!$H12),"P",IF(AND(ISNUMBER(Timeline!$K12),ISNUMBER(Timeline!$O12),M$4&lt;=Timeline!$O12,EOMONTH(M$4,0)&gt;Timeline!$K12),"S",""))))</f>
        <v>S</v>
      </c>
      <c r="N7" s="17" t="str">
        <f aca="false">IF(AND(ISNUMBER(Timeline!$E12),ISNUMBER(Timeline!$F12),N$4&lt;=Timeline!$F12,EOMONTH(N$4,0)&gt;=Timeline!$E12),"C",IF(AND(ISNUMBER(Timeline!$F12),ISNUMBER(Timeline!$K12),N$4&lt;=Timeline!$K12,EOMONTH(N$4,0)&gt;Timeline!$F12),"P",IF(AND(ISNUMBER(Timeline!$H12),ISNUMBER(Timeline!$K12),NOT(ISNUMBER(Timeline!$F12)),N$4&lt;=Timeline!$K12,EOMONTH(N$4,0)&gt;=Timeline!$H12),"P",IF(AND(ISNUMBER(Timeline!$K12),ISNUMBER(Timeline!$O12),N$4&lt;=Timeline!$O12,EOMONTH(N$4,0)&gt;Timeline!$K12),"S",""))))</f>
        <v>S</v>
      </c>
      <c r="O7" s="17" t="str">
        <f aca="false">IF(AND(ISNUMBER(Timeline!$E12),ISNUMBER(Timeline!$F12),O$4&lt;=Timeline!$F12,EOMONTH(O$4,0)&gt;=Timeline!$E12),"C",IF(AND(ISNUMBER(Timeline!$F12),ISNUMBER(Timeline!$K12),O$4&lt;=Timeline!$K12,EOMONTH(O$4,0)&gt;Timeline!$F12),"P",IF(AND(ISNUMBER(Timeline!$H12),ISNUMBER(Timeline!$K12),NOT(ISNUMBER(Timeline!$F12)),O$4&lt;=Timeline!$K12,EOMONTH(O$4,0)&gt;=Timeline!$H12),"P",IF(AND(ISNUMBER(Timeline!$K12),ISNUMBER(Timeline!$O12),O$4&lt;=Timeline!$O12,EOMONTH(O$4,0)&gt;Timeline!$K12),"S",""))))</f>
        <v>S</v>
      </c>
      <c r="P7" s="17" t="str">
        <f aca="false">IF(AND(ISNUMBER(Timeline!$E12),ISNUMBER(Timeline!$F12),P$4&lt;=Timeline!$F12,EOMONTH(P$4,0)&gt;=Timeline!$E12),"C",IF(AND(ISNUMBER(Timeline!$F12),ISNUMBER(Timeline!$K12),P$4&lt;=Timeline!$K12,EOMONTH(P$4,0)&gt;Timeline!$F12),"P",IF(AND(ISNUMBER(Timeline!$H12),ISNUMBER(Timeline!$K12),NOT(ISNUMBER(Timeline!$F12)),P$4&lt;=Timeline!$K12,EOMONTH(P$4,0)&gt;=Timeline!$H12),"P",IF(AND(ISNUMBER(Timeline!$K12),ISNUMBER(Timeline!$O12),P$4&lt;=Timeline!$O12,EOMONTH(P$4,0)&gt;Timeline!$K12),"S",""))))</f>
        <v>S</v>
      </c>
      <c r="Q7" s="17" t="str">
        <f aca="false">IF(AND(ISNUMBER(Timeline!$E12),ISNUMBER(Timeline!$F12),Q$4&lt;=Timeline!$F12,EOMONTH(Q$4,0)&gt;=Timeline!$E12),"C",IF(AND(ISNUMBER(Timeline!$F12),ISNUMBER(Timeline!$K12),Q$4&lt;=Timeline!$K12,EOMONTH(Q$4,0)&gt;Timeline!$F12),"P",IF(AND(ISNUMBER(Timeline!$H12),ISNUMBER(Timeline!$K12),NOT(ISNUMBER(Timeline!$F12)),Q$4&lt;=Timeline!$K12,EOMONTH(Q$4,0)&gt;=Timeline!$H12),"P",IF(AND(ISNUMBER(Timeline!$K12),ISNUMBER(Timeline!$O12),Q$4&lt;=Timeline!$O12,EOMONTH(Q$4,0)&gt;Timeline!$K12),"S",""))))</f>
        <v/>
      </c>
      <c r="R7" s="17" t="str">
        <f aca="false">IF(AND(ISNUMBER(Timeline!$E12),ISNUMBER(Timeline!$F12),R$4&lt;=Timeline!$F12,EOMONTH(R$4,0)&gt;=Timeline!$E12),"C",IF(AND(ISNUMBER(Timeline!$F12),ISNUMBER(Timeline!$K12),R$4&lt;=Timeline!$K12,EOMONTH(R$4,0)&gt;Timeline!$F12),"P",IF(AND(ISNUMBER(Timeline!$H12),ISNUMBER(Timeline!$K12),NOT(ISNUMBER(Timeline!$F12)),R$4&lt;=Timeline!$K12,EOMONTH(R$4,0)&gt;=Timeline!$H12),"P",IF(AND(ISNUMBER(Timeline!$K12),ISNUMBER(Timeline!$O12),R$4&lt;=Timeline!$O12,EOMONTH(R$4,0)&gt;Timeline!$K12),"S",""))))</f>
        <v/>
      </c>
      <c r="S7" s="17" t="str">
        <f aca="false">IF(AND(ISNUMBER(Timeline!$E12),ISNUMBER(Timeline!$F12),S$4&lt;=Timeline!$F12,EOMONTH(S$4,0)&gt;=Timeline!$E12),"C",IF(AND(ISNUMBER(Timeline!$F12),ISNUMBER(Timeline!$K12),S$4&lt;=Timeline!$K12,EOMONTH(S$4,0)&gt;Timeline!$F12),"P",IF(AND(ISNUMBER(Timeline!$H12),ISNUMBER(Timeline!$K12),NOT(ISNUMBER(Timeline!$F12)),S$4&lt;=Timeline!$K12,EOMONTH(S$4,0)&gt;=Timeline!$H12),"P",IF(AND(ISNUMBER(Timeline!$K12),ISNUMBER(Timeline!$O12),S$4&lt;=Timeline!$O12,EOMONTH(S$4,0)&gt;Timeline!$K12),"S",""))))</f>
        <v/>
      </c>
      <c r="T7" s="17" t="str">
        <f aca="false">IF(AND(ISNUMBER(Timeline!$E12),ISNUMBER(Timeline!$F12),T$4&lt;=Timeline!$F12,EOMONTH(T$4,0)&gt;=Timeline!$E12),"C",IF(AND(ISNUMBER(Timeline!$F12),ISNUMBER(Timeline!$K12),T$4&lt;=Timeline!$K12,EOMONTH(T$4,0)&gt;Timeline!$F12),"P",IF(AND(ISNUMBER(Timeline!$H12),ISNUMBER(Timeline!$K12),NOT(ISNUMBER(Timeline!$F12)),T$4&lt;=Timeline!$K12,EOMONTH(T$4,0)&gt;=Timeline!$H12),"P",IF(AND(ISNUMBER(Timeline!$K12),ISNUMBER(Timeline!$O12),T$4&lt;=Timeline!$O12,EOMONTH(T$4,0)&gt;Timeline!$K12),"S",""))))</f>
        <v/>
      </c>
      <c r="U7" s="17" t="str">
        <f aca="false">IF(AND(ISNUMBER(Timeline!$E12),ISNUMBER(Timeline!$F12),U$4&lt;=Timeline!$F12,EOMONTH(U$4,0)&gt;=Timeline!$E12),"C",IF(AND(ISNUMBER(Timeline!$F12),ISNUMBER(Timeline!$K12),U$4&lt;=Timeline!$K12,EOMONTH(U$4,0)&gt;Timeline!$F12),"P",IF(AND(ISNUMBER(Timeline!$H12),ISNUMBER(Timeline!$K12),NOT(ISNUMBER(Timeline!$F12)),U$4&lt;=Timeline!$K12,EOMONTH(U$4,0)&gt;=Timeline!$H12),"P",IF(AND(ISNUMBER(Timeline!$K12),ISNUMBER(Timeline!$O12),U$4&lt;=Timeline!$O12,EOMONTH(U$4,0)&gt;Timeline!$K12),"S",""))))</f>
        <v/>
      </c>
      <c r="V7" s="17" t="str">
        <f aca="false">IF(AND(ISNUMBER(Timeline!$E12),ISNUMBER(Timeline!$F12),V$4&lt;=Timeline!$F12,EOMONTH(V$4,0)&gt;=Timeline!$E12),"C",IF(AND(ISNUMBER(Timeline!$F12),ISNUMBER(Timeline!$K12),V$4&lt;=Timeline!$K12,EOMONTH(V$4,0)&gt;Timeline!$F12),"P",IF(AND(ISNUMBER(Timeline!$H12),ISNUMBER(Timeline!$K12),NOT(ISNUMBER(Timeline!$F12)),V$4&lt;=Timeline!$K12,EOMONTH(V$4,0)&gt;=Timeline!$H12),"P",IF(AND(ISNUMBER(Timeline!$K12),ISNUMBER(Timeline!$O12),V$4&lt;=Timeline!$O12,EOMONTH(V$4,0)&gt;Timeline!$K12),"S",""))))</f>
        <v/>
      </c>
      <c r="W7" s="17" t="str">
        <f aca="false">IF(AND(ISNUMBER(Timeline!$E12),ISNUMBER(Timeline!$F12),W$4&lt;=Timeline!$F12,EOMONTH(W$4,0)&gt;=Timeline!$E12),"C",IF(AND(ISNUMBER(Timeline!$F12),ISNUMBER(Timeline!$K12),W$4&lt;=Timeline!$K12,EOMONTH(W$4,0)&gt;Timeline!$F12),"P",IF(AND(ISNUMBER(Timeline!$H12),ISNUMBER(Timeline!$K12),NOT(ISNUMBER(Timeline!$F12)),W$4&lt;=Timeline!$K12,EOMONTH(W$4,0)&gt;=Timeline!$H12),"P",IF(AND(ISNUMBER(Timeline!$K12),ISNUMBER(Timeline!$O12),W$4&lt;=Timeline!$O12,EOMONTH(W$4,0)&gt;Timeline!$K12),"S",""))))</f>
        <v/>
      </c>
      <c r="X7" s="17" t="str">
        <f aca="false">IF(AND(ISNUMBER(Timeline!$E12),ISNUMBER(Timeline!$F12),X$4&lt;=Timeline!$F12,EOMONTH(X$4,0)&gt;=Timeline!$E12),"C",IF(AND(ISNUMBER(Timeline!$F12),ISNUMBER(Timeline!$K12),X$4&lt;=Timeline!$K12,EOMONTH(X$4,0)&gt;Timeline!$F12),"P",IF(AND(ISNUMBER(Timeline!$H12),ISNUMBER(Timeline!$K12),NOT(ISNUMBER(Timeline!$F12)),X$4&lt;=Timeline!$K12,EOMONTH(X$4,0)&gt;=Timeline!$H12),"P",IF(AND(ISNUMBER(Timeline!$K12),ISNUMBER(Timeline!$O12),X$4&lt;=Timeline!$O12,EOMONTH(X$4,0)&gt;Timeline!$K12),"S",""))))</f>
        <v/>
      </c>
      <c r="Y7" s="17" t="str">
        <f aca="false">IF(AND(ISNUMBER(Timeline!$E12),ISNUMBER(Timeline!$F12),Y$4&lt;=Timeline!$F12,EOMONTH(Y$4,0)&gt;=Timeline!$E12),"C",IF(AND(ISNUMBER(Timeline!$F12),ISNUMBER(Timeline!$K12),Y$4&lt;=Timeline!$K12,EOMONTH(Y$4,0)&gt;Timeline!$F12),"P",IF(AND(ISNUMBER(Timeline!$H12),ISNUMBER(Timeline!$K12),NOT(ISNUMBER(Timeline!$F12)),Y$4&lt;=Timeline!$K12,EOMONTH(Y$4,0)&gt;=Timeline!$H12),"P",IF(AND(ISNUMBER(Timeline!$K12),ISNUMBER(Timeline!$O12),Y$4&lt;=Timeline!$O12,EOMONTH(Y$4,0)&gt;Timeline!$K12),"S",""))))</f>
        <v/>
      </c>
      <c r="Z7" s="17" t="str">
        <f aca="false">IF(AND(ISNUMBER(Timeline!$E12),ISNUMBER(Timeline!$F12),Z$4&lt;=Timeline!$F12,EOMONTH(Z$4,0)&gt;=Timeline!$E12),"C",IF(AND(ISNUMBER(Timeline!$F12),ISNUMBER(Timeline!$K12),Z$4&lt;=Timeline!$K12,EOMONTH(Z$4,0)&gt;Timeline!$F12),"P",IF(AND(ISNUMBER(Timeline!$H12),ISNUMBER(Timeline!$K12),NOT(ISNUMBER(Timeline!$F12)),Z$4&lt;=Timeline!$K12,EOMONTH(Z$4,0)&gt;=Timeline!$H12),"P",IF(AND(ISNUMBER(Timeline!$K12),ISNUMBER(Timeline!$O12),Z$4&lt;=Timeline!$O12,EOMONTH(Z$4,0)&gt;Timeline!$K12),"S",""))))</f>
        <v/>
      </c>
      <c r="AA7" s="17" t="str">
        <f aca="false">IF(AND(ISNUMBER(Timeline!$E12),ISNUMBER(Timeline!$F12),AA$4&lt;=Timeline!$F12,EOMONTH(AA$4,0)&gt;=Timeline!$E12),"C",IF(AND(ISNUMBER(Timeline!$F12),ISNUMBER(Timeline!$K12),AA$4&lt;=Timeline!$K12,EOMONTH(AA$4,0)&gt;Timeline!$F12),"P",IF(AND(ISNUMBER(Timeline!$H12),ISNUMBER(Timeline!$K12),NOT(ISNUMBER(Timeline!$F12)),AA$4&lt;=Timeline!$K12,EOMONTH(AA$4,0)&gt;=Timeline!$H12),"P",IF(AND(ISNUMBER(Timeline!$K12),ISNUMBER(Timeline!$O12),AA$4&lt;=Timeline!$O12,EOMONTH(AA$4,0)&gt;Timeline!$K12),"S",""))))</f>
        <v/>
      </c>
      <c r="AB7" s="17" t="str">
        <f aca="false">IF(AND(ISNUMBER(Timeline!$E12),ISNUMBER(Timeline!$F12),AB$4&lt;=Timeline!$F12,EOMONTH(AB$4,0)&gt;=Timeline!$E12),"C",IF(AND(ISNUMBER(Timeline!$F12),ISNUMBER(Timeline!$K12),AB$4&lt;=Timeline!$K12,EOMONTH(AB$4,0)&gt;Timeline!$F12),"P",IF(AND(ISNUMBER(Timeline!$H12),ISNUMBER(Timeline!$K12),NOT(ISNUMBER(Timeline!$F12)),AB$4&lt;=Timeline!$K12,EOMONTH(AB$4,0)&gt;=Timeline!$H12),"P",IF(AND(ISNUMBER(Timeline!$K12),ISNUMBER(Timeline!$O12),AB$4&lt;=Timeline!$O12,EOMONTH(AB$4,0)&gt;Timeline!$K12),"S",""))))</f>
        <v/>
      </c>
      <c r="AC7" s="17" t="str">
        <f aca="false">IF(AND(ISNUMBER(Timeline!$E12),ISNUMBER(Timeline!$F12),AC$4&lt;=Timeline!$F12,EOMONTH(AC$4,0)&gt;=Timeline!$E12),"C",IF(AND(ISNUMBER(Timeline!$F12),ISNUMBER(Timeline!$K12),AC$4&lt;=Timeline!$K12,EOMONTH(AC$4,0)&gt;Timeline!$F12),"P",IF(AND(ISNUMBER(Timeline!$H12),ISNUMBER(Timeline!$K12),NOT(ISNUMBER(Timeline!$F12)),AC$4&lt;=Timeline!$K12,EOMONTH(AC$4,0)&gt;=Timeline!$H12),"P",IF(AND(ISNUMBER(Timeline!$K12),ISNUMBER(Timeline!$O12),AC$4&lt;=Timeline!$O12,EOMONTH(AC$4,0)&gt;Timeline!$K12),"S",""))))</f>
        <v/>
      </c>
      <c r="AD7" s="17" t="str">
        <f aca="false">IF(AND(ISNUMBER(Timeline!$E12),ISNUMBER(Timeline!$F12),AD$4&lt;=Timeline!$F12,EOMONTH(AD$4,0)&gt;=Timeline!$E12),"C",IF(AND(ISNUMBER(Timeline!$F12),ISNUMBER(Timeline!$K12),AD$4&lt;=Timeline!$K12,EOMONTH(AD$4,0)&gt;Timeline!$F12),"P",IF(AND(ISNUMBER(Timeline!$H12),ISNUMBER(Timeline!$K12),NOT(ISNUMBER(Timeline!$F12)),AD$4&lt;=Timeline!$K12,EOMONTH(AD$4,0)&gt;=Timeline!$H12),"P",IF(AND(ISNUMBER(Timeline!$K12),ISNUMBER(Timeline!$O12),AD$4&lt;=Timeline!$O12,EOMONTH(AD$4,0)&gt;Timeline!$K12),"S",""))))</f>
        <v/>
      </c>
      <c r="AE7" s="17" t="str">
        <f aca="false">IF(AND(ISNUMBER(Timeline!$E12),ISNUMBER(Timeline!$F12),AE$4&lt;=Timeline!$F12,EOMONTH(AE$4,0)&gt;=Timeline!$E12),"C",IF(AND(ISNUMBER(Timeline!$F12),ISNUMBER(Timeline!$K12),AE$4&lt;=Timeline!$K12,EOMONTH(AE$4,0)&gt;Timeline!$F12),"P",IF(AND(ISNUMBER(Timeline!$H12),ISNUMBER(Timeline!$K12),NOT(ISNUMBER(Timeline!$F12)),AE$4&lt;=Timeline!$K12,EOMONTH(AE$4,0)&gt;=Timeline!$H12),"P",IF(AND(ISNUMBER(Timeline!$K12),ISNUMBER(Timeline!$O12),AE$4&lt;=Timeline!$O12,EOMONTH(AE$4,0)&gt;Timeline!$K12),"S",""))))</f>
        <v/>
      </c>
      <c r="AF7" s="17" t="str">
        <f aca="false">IF(AND(ISNUMBER(Timeline!$E12),ISNUMBER(Timeline!$F12),AF$4&lt;=Timeline!$F12,EOMONTH(AF$4,0)&gt;=Timeline!$E12),"C",IF(AND(ISNUMBER(Timeline!$F12),ISNUMBER(Timeline!$K12),AF$4&lt;=Timeline!$K12,EOMONTH(AF$4,0)&gt;Timeline!$F12),"P",IF(AND(ISNUMBER(Timeline!$H12),ISNUMBER(Timeline!$K12),NOT(ISNUMBER(Timeline!$F12)),AF$4&lt;=Timeline!$K12,EOMONTH(AF$4,0)&gt;=Timeline!$H12),"P",IF(AND(ISNUMBER(Timeline!$K12),ISNUMBER(Timeline!$O12),AF$4&lt;=Timeline!$O12,EOMONTH(AF$4,0)&gt;Timeline!$K12),"S",""))))</f>
        <v/>
      </c>
      <c r="AG7" s="17" t="str">
        <f aca="false">IF(AND(ISNUMBER(Timeline!$E12),ISNUMBER(Timeline!$F12),AG$4&lt;=Timeline!$F12,EOMONTH(AG$4,0)&gt;=Timeline!$E12),"C",IF(AND(ISNUMBER(Timeline!$F12),ISNUMBER(Timeline!$K12),AG$4&lt;=Timeline!$K12,EOMONTH(AG$4,0)&gt;Timeline!$F12),"P",IF(AND(ISNUMBER(Timeline!$H12),ISNUMBER(Timeline!$K12),NOT(ISNUMBER(Timeline!$F12)),AG$4&lt;=Timeline!$K12,EOMONTH(AG$4,0)&gt;=Timeline!$H12),"P",IF(AND(ISNUMBER(Timeline!$K12),ISNUMBER(Timeline!$O12),AG$4&lt;=Timeline!$O12,EOMONTH(AG$4,0)&gt;Timeline!$K12),"S",""))))</f>
        <v/>
      </c>
      <c r="AH7" s="17" t="str">
        <f aca="false">IF(AND(ISNUMBER(Timeline!$E12),ISNUMBER(Timeline!$F12),AH$4&lt;=Timeline!$F12,EOMONTH(AH$4,0)&gt;=Timeline!$E12),"C",IF(AND(ISNUMBER(Timeline!$F12),ISNUMBER(Timeline!$K12),AH$4&lt;=Timeline!$K12,EOMONTH(AH$4,0)&gt;Timeline!$F12),"P",IF(AND(ISNUMBER(Timeline!$H12),ISNUMBER(Timeline!$K12),NOT(ISNUMBER(Timeline!$F12)),AH$4&lt;=Timeline!$K12,EOMONTH(AH$4,0)&gt;=Timeline!$H12),"P",IF(AND(ISNUMBER(Timeline!$K12),ISNUMBER(Timeline!$O12),AH$4&lt;=Timeline!$O12,EOMONTH(AH$4,0)&gt;Timeline!$K12),"S",""))))</f>
        <v/>
      </c>
    </row>
    <row r="8" customFormat="false" ht="15" hidden="false" customHeight="false" outlineLevel="0" collapsed="false">
      <c r="A8" s="5" t="n">
        <v>4</v>
      </c>
      <c r="B8" s="16" t="s">
        <v>39</v>
      </c>
      <c r="C8" s="16" t="s">
        <v>26</v>
      </c>
      <c r="D8" s="17" t="str">
        <f aca="false">IF(AND(ISNUMBER(Timeline!$E13),ISNUMBER(Timeline!$F13),D$4&lt;=Timeline!$F13,EOMONTH(D$4,0)&gt;=Timeline!$E13),"C",IF(AND(ISNUMBER(Timeline!$F13),ISNUMBER(Timeline!$K13),D$4&lt;=Timeline!$K13,EOMONTH(D$4,0)&gt;Timeline!$F13),"P",IF(AND(ISNUMBER(Timeline!$H13),ISNUMBER(Timeline!$K13),NOT(ISNUMBER(Timeline!$F13)),D$4&lt;=Timeline!$K13,EOMONTH(D$4,0)&gt;=Timeline!$H13),"P",IF(AND(ISNUMBER(Timeline!$K13),ISNUMBER(Timeline!$O13),D$4&lt;=Timeline!$O13,EOMONTH(D$4,0)&gt;Timeline!$K13),"S",""))))</f>
        <v/>
      </c>
      <c r="E8" s="17" t="str">
        <f aca="false">IF(AND(ISNUMBER(Timeline!$E13),ISNUMBER(Timeline!$F13),E$4&lt;=Timeline!$F13,EOMONTH(E$4,0)&gt;=Timeline!$E13),"C",IF(AND(ISNUMBER(Timeline!$F13),ISNUMBER(Timeline!$K13),E$4&lt;=Timeline!$K13,EOMONTH(E$4,0)&gt;Timeline!$F13),"P",IF(AND(ISNUMBER(Timeline!$H13),ISNUMBER(Timeline!$K13),NOT(ISNUMBER(Timeline!$F13)),E$4&lt;=Timeline!$K13,EOMONTH(E$4,0)&gt;=Timeline!$H13),"P",IF(AND(ISNUMBER(Timeline!$K13),ISNUMBER(Timeline!$O13),E$4&lt;=Timeline!$O13,EOMONTH(E$4,0)&gt;Timeline!$K13),"S",""))))</f>
        <v/>
      </c>
      <c r="F8" s="17" t="str">
        <f aca="false">IF(AND(ISNUMBER(Timeline!$E13),ISNUMBER(Timeline!$F13),F$4&lt;=Timeline!$F13,EOMONTH(F$4,0)&gt;=Timeline!$E13),"C",IF(AND(ISNUMBER(Timeline!$F13),ISNUMBER(Timeline!$K13),F$4&lt;=Timeline!$K13,EOMONTH(F$4,0)&gt;Timeline!$F13),"P",IF(AND(ISNUMBER(Timeline!$H13),ISNUMBER(Timeline!$K13),NOT(ISNUMBER(Timeline!$F13)),F$4&lt;=Timeline!$K13,EOMONTH(F$4,0)&gt;=Timeline!$H13),"P",IF(AND(ISNUMBER(Timeline!$K13),ISNUMBER(Timeline!$O13),F$4&lt;=Timeline!$O13,EOMONTH(F$4,0)&gt;Timeline!$K13),"S",""))))</f>
        <v>C</v>
      </c>
      <c r="G8" s="17" t="str">
        <f aca="false">IF(AND(ISNUMBER(Timeline!$E13),ISNUMBER(Timeline!$F13),G$4&lt;=Timeline!$F13,EOMONTH(G$4,0)&gt;=Timeline!$E13),"C",IF(AND(ISNUMBER(Timeline!$F13),ISNUMBER(Timeline!$K13),G$4&lt;=Timeline!$K13,EOMONTH(G$4,0)&gt;Timeline!$F13),"P",IF(AND(ISNUMBER(Timeline!$H13),ISNUMBER(Timeline!$K13),NOT(ISNUMBER(Timeline!$F13)),G$4&lt;=Timeline!$K13,EOMONTH(G$4,0)&gt;=Timeline!$H13),"P",IF(AND(ISNUMBER(Timeline!$K13),ISNUMBER(Timeline!$O13),G$4&lt;=Timeline!$O13,EOMONTH(G$4,0)&gt;Timeline!$K13),"S",""))))</f>
        <v>C</v>
      </c>
      <c r="H8" s="17" t="str">
        <f aca="false">IF(AND(ISNUMBER(Timeline!$E13),ISNUMBER(Timeline!$F13),H$4&lt;=Timeline!$F13,EOMONTH(H$4,0)&gt;=Timeline!$E13),"C",IF(AND(ISNUMBER(Timeline!$F13),ISNUMBER(Timeline!$K13),H$4&lt;=Timeline!$K13,EOMONTH(H$4,0)&gt;Timeline!$F13),"P",IF(AND(ISNUMBER(Timeline!$H13),ISNUMBER(Timeline!$K13),NOT(ISNUMBER(Timeline!$F13)),H$4&lt;=Timeline!$K13,EOMONTH(H$4,0)&gt;=Timeline!$H13),"P",IF(AND(ISNUMBER(Timeline!$K13),ISNUMBER(Timeline!$O13),H$4&lt;=Timeline!$O13,EOMONTH(H$4,0)&gt;Timeline!$K13),"S",""))))</f>
        <v>P</v>
      </c>
      <c r="I8" s="17" t="str">
        <f aca="false">IF(AND(ISNUMBER(Timeline!$E13),ISNUMBER(Timeline!$F13),I$4&lt;=Timeline!$F13,EOMONTH(I$4,0)&gt;=Timeline!$E13),"C",IF(AND(ISNUMBER(Timeline!$F13),ISNUMBER(Timeline!$K13),I$4&lt;=Timeline!$K13,EOMONTH(I$4,0)&gt;Timeline!$F13),"P",IF(AND(ISNUMBER(Timeline!$H13),ISNUMBER(Timeline!$K13),NOT(ISNUMBER(Timeline!$F13)),I$4&lt;=Timeline!$K13,EOMONTH(I$4,0)&gt;=Timeline!$H13),"P",IF(AND(ISNUMBER(Timeline!$K13),ISNUMBER(Timeline!$O13),I$4&lt;=Timeline!$O13,EOMONTH(I$4,0)&gt;Timeline!$K13),"S",""))))</f>
        <v>P</v>
      </c>
      <c r="J8" s="17" t="str">
        <f aca="false">IF(AND(ISNUMBER(Timeline!$E13),ISNUMBER(Timeline!$F13),J$4&lt;=Timeline!$F13,EOMONTH(J$4,0)&gt;=Timeline!$E13),"C",IF(AND(ISNUMBER(Timeline!$F13),ISNUMBER(Timeline!$K13),J$4&lt;=Timeline!$K13,EOMONTH(J$4,0)&gt;Timeline!$F13),"P",IF(AND(ISNUMBER(Timeline!$H13),ISNUMBER(Timeline!$K13),NOT(ISNUMBER(Timeline!$F13)),J$4&lt;=Timeline!$K13,EOMONTH(J$4,0)&gt;=Timeline!$H13),"P",IF(AND(ISNUMBER(Timeline!$K13),ISNUMBER(Timeline!$O13),J$4&lt;=Timeline!$O13,EOMONTH(J$4,0)&gt;Timeline!$K13),"S",""))))</f>
        <v>P</v>
      </c>
      <c r="K8" s="17" t="str">
        <f aca="false">IF(AND(ISNUMBER(Timeline!$E13),ISNUMBER(Timeline!$F13),K$4&lt;=Timeline!$F13,EOMONTH(K$4,0)&gt;=Timeline!$E13),"C",IF(AND(ISNUMBER(Timeline!$F13),ISNUMBER(Timeline!$K13),K$4&lt;=Timeline!$K13,EOMONTH(K$4,0)&gt;Timeline!$F13),"P",IF(AND(ISNUMBER(Timeline!$H13),ISNUMBER(Timeline!$K13),NOT(ISNUMBER(Timeline!$F13)),K$4&lt;=Timeline!$K13,EOMONTH(K$4,0)&gt;=Timeline!$H13),"P",IF(AND(ISNUMBER(Timeline!$K13),ISNUMBER(Timeline!$O13),K$4&lt;=Timeline!$O13,EOMONTH(K$4,0)&gt;Timeline!$K13),"S",""))))</f>
        <v>P</v>
      </c>
      <c r="L8" s="17" t="str">
        <f aca="false">IF(AND(ISNUMBER(Timeline!$E13),ISNUMBER(Timeline!$F13),L$4&lt;=Timeline!$F13,EOMONTH(L$4,0)&gt;=Timeline!$E13),"C",IF(AND(ISNUMBER(Timeline!$F13),ISNUMBER(Timeline!$K13),L$4&lt;=Timeline!$K13,EOMONTH(L$4,0)&gt;Timeline!$F13),"P",IF(AND(ISNUMBER(Timeline!$H13),ISNUMBER(Timeline!$K13),NOT(ISNUMBER(Timeline!$F13)),L$4&lt;=Timeline!$K13,EOMONTH(L$4,0)&gt;=Timeline!$H13),"P",IF(AND(ISNUMBER(Timeline!$K13),ISNUMBER(Timeline!$O13),L$4&lt;=Timeline!$O13,EOMONTH(L$4,0)&gt;Timeline!$K13),"S",""))))</f>
        <v>P</v>
      </c>
      <c r="M8" s="17" t="str">
        <f aca="false">IF(AND(ISNUMBER(Timeline!$E13),ISNUMBER(Timeline!$F13),M$4&lt;=Timeline!$F13,EOMONTH(M$4,0)&gt;=Timeline!$E13),"C",IF(AND(ISNUMBER(Timeline!$F13),ISNUMBER(Timeline!$K13),M$4&lt;=Timeline!$K13,EOMONTH(M$4,0)&gt;Timeline!$F13),"P",IF(AND(ISNUMBER(Timeline!$H13),ISNUMBER(Timeline!$K13),NOT(ISNUMBER(Timeline!$F13)),M$4&lt;=Timeline!$K13,EOMONTH(M$4,0)&gt;=Timeline!$H13),"P",IF(AND(ISNUMBER(Timeline!$K13),ISNUMBER(Timeline!$O13),M$4&lt;=Timeline!$O13,EOMONTH(M$4,0)&gt;Timeline!$K13),"S",""))))</f>
        <v>P</v>
      </c>
      <c r="N8" s="17" t="str">
        <f aca="false">IF(AND(ISNUMBER(Timeline!$E13),ISNUMBER(Timeline!$F13),N$4&lt;=Timeline!$F13,EOMONTH(N$4,0)&gt;=Timeline!$E13),"C",IF(AND(ISNUMBER(Timeline!$F13),ISNUMBER(Timeline!$K13),N$4&lt;=Timeline!$K13,EOMONTH(N$4,0)&gt;Timeline!$F13),"P",IF(AND(ISNUMBER(Timeline!$H13),ISNUMBER(Timeline!$K13),NOT(ISNUMBER(Timeline!$F13)),N$4&lt;=Timeline!$K13,EOMONTH(N$4,0)&gt;=Timeline!$H13),"P",IF(AND(ISNUMBER(Timeline!$K13),ISNUMBER(Timeline!$O13),N$4&lt;=Timeline!$O13,EOMONTH(N$4,0)&gt;Timeline!$K13),"S",""))))</f>
        <v>P</v>
      </c>
      <c r="O8" s="17" t="str">
        <f aca="false">IF(AND(ISNUMBER(Timeline!$E13),ISNUMBER(Timeline!$F13),O$4&lt;=Timeline!$F13,EOMONTH(O$4,0)&gt;=Timeline!$E13),"C",IF(AND(ISNUMBER(Timeline!$F13),ISNUMBER(Timeline!$K13),O$4&lt;=Timeline!$K13,EOMONTH(O$4,0)&gt;Timeline!$F13),"P",IF(AND(ISNUMBER(Timeline!$H13),ISNUMBER(Timeline!$K13),NOT(ISNUMBER(Timeline!$F13)),O$4&lt;=Timeline!$K13,EOMONTH(O$4,0)&gt;=Timeline!$H13),"P",IF(AND(ISNUMBER(Timeline!$K13),ISNUMBER(Timeline!$O13),O$4&lt;=Timeline!$O13,EOMONTH(O$4,0)&gt;Timeline!$K13),"S",""))))</f>
        <v>P</v>
      </c>
      <c r="P8" s="17" t="str">
        <f aca="false">IF(AND(ISNUMBER(Timeline!$E13),ISNUMBER(Timeline!$F13),P$4&lt;=Timeline!$F13,EOMONTH(P$4,0)&gt;=Timeline!$E13),"C",IF(AND(ISNUMBER(Timeline!$F13),ISNUMBER(Timeline!$K13),P$4&lt;=Timeline!$K13,EOMONTH(P$4,0)&gt;Timeline!$F13),"P",IF(AND(ISNUMBER(Timeline!$H13),ISNUMBER(Timeline!$K13),NOT(ISNUMBER(Timeline!$F13)),P$4&lt;=Timeline!$K13,EOMONTH(P$4,0)&gt;=Timeline!$H13),"P",IF(AND(ISNUMBER(Timeline!$K13),ISNUMBER(Timeline!$O13),P$4&lt;=Timeline!$O13,EOMONTH(P$4,0)&gt;Timeline!$K13),"S",""))))</f>
        <v>P</v>
      </c>
      <c r="Q8" s="17" t="str">
        <f aca="false">IF(AND(ISNUMBER(Timeline!$E13),ISNUMBER(Timeline!$F13),Q$4&lt;=Timeline!$F13,EOMONTH(Q$4,0)&gt;=Timeline!$E13),"C",IF(AND(ISNUMBER(Timeline!$F13),ISNUMBER(Timeline!$K13),Q$4&lt;=Timeline!$K13,EOMONTH(Q$4,0)&gt;Timeline!$F13),"P",IF(AND(ISNUMBER(Timeline!$H13),ISNUMBER(Timeline!$K13),NOT(ISNUMBER(Timeline!$F13)),Q$4&lt;=Timeline!$K13,EOMONTH(Q$4,0)&gt;=Timeline!$H13),"P",IF(AND(ISNUMBER(Timeline!$K13),ISNUMBER(Timeline!$O13),Q$4&lt;=Timeline!$O13,EOMONTH(Q$4,0)&gt;Timeline!$K13),"S",""))))</f>
        <v>S</v>
      </c>
      <c r="R8" s="17" t="str">
        <f aca="false">IF(AND(ISNUMBER(Timeline!$E13),ISNUMBER(Timeline!$F13),R$4&lt;=Timeline!$F13,EOMONTH(R$4,0)&gt;=Timeline!$E13),"C",IF(AND(ISNUMBER(Timeline!$F13),ISNUMBER(Timeline!$K13),R$4&lt;=Timeline!$K13,EOMONTH(R$4,0)&gt;Timeline!$F13),"P",IF(AND(ISNUMBER(Timeline!$H13),ISNUMBER(Timeline!$K13),NOT(ISNUMBER(Timeline!$F13)),R$4&lt;=Timeline!$K13,EOMONTH(R$4,0)&gt;=Timeline!$H13),"P",IF(AND(ISNUMBER(Timeline!$K13),ISNUMBER(Timeline!$O13),R$4&lt;=Timeline!$O13,EOMONTH(R$4,0)&gt;Timeline!$K13),"S",""))))</f>
        <v>S</v>
      </c>
      <c r="S8" s="17" t="str">
        <f aca="false">IF(AND(ISNUMBER(Timeline!$E13),ISNUMBER(Timeline!$F13),S$4&lt;=Timeline!$F13,EOMONTH(S$4,0)&gt;=Timeline!$E13),"C",IF(AND(ISNUMBER(Timeline!$F13),ISNUMBER(Timeline!$K13),S$4&lt;=Timeline!$K13,EOMONTH(S$4,0)&gt;Timeline!$F13),"P",IF(AND(ISNUMBER(Timeline!$H13),ISNUMBER(Timeline!$K13),NOT(ISNUMBER(Timeline!$F13)),S$4&lt;=Timeline!$K13,EOMONTH(S$4,0)&gt;=Timeline!$H13),"P",IF(AND(ISNUMBER(Timeline!$K13),ISNUMBER(Timeline!$O13),S$4&lt;=Timeline!$O13,EOMONTH(S$4,0)&gt;Timeline!$K13),"S",""))))</f>
        <v>S</v>
      </c>
      <c r="T8" s="17" t="str">
        <f aca="false">IF(AND(ISNUMBER(Timeline!$E13),ISNUMBER(Timeline!$F13),T$4&lt;=Timeline!$F13,EOMONTH(T$4,0)&gt;=Timeline!$E13),"C",IF(AND(ISNUMBER(Timeline!$F13),ISNUMBER(Timeline!$K13),T$4&lt;=Timeline!$K13,EOMONTH(T$4,0)&gt;Timeline!$F13),"P",IF(AND(ISNUMBER(Timeline!$H13),ISNUMBER(Timeline!$K13),NOT(ISNUMBER(Timeline!$F13)),T$4&lt;=Timeline!$K13,EOMONTH(T$4,0)&gt;=Timeline!$H13),"P",IF(AND(ISNUMBER(Timeline!$K13),ISNUMBER(Timeline!$O13),T$4&lt;=Timeline!$O13,EOMONTH(T$4,0)&gt;Timeline!$K13),"S",""))))</f>
        <v>S</v>
      </c>
      <c r="U8" s="17" t="str">
        <f aca="false">IF(AND(ISNUMBER(Timeline!$E13),ISNUMBER(Timeline!$F13),U$4&lt;=Timeline!$F13,EOMONTH(U$4,0)&gt;=Timeline!$E13),"C",IF(AND(ISNUMBER(Timeline!$F13),ISNUMBER(Timeline!$K13),U$4&lt;=Timeline!$K13,EOMONTH(U$4,0)&gt;Timeline!$F13),"P",IF(AND(ISNUMBER(Timeline!$H13),ISNUMBER(Timeline!$K13),NOT(ISNUMBER(Timeline!$F13)),U$4&lt;=Timeline!$K13,EOMONTH(U$4,0)&gt;=Timeline!$H13),"P",IF(AND(ISNUMBER(Timeline!$K13),ISNUMBER(Timeline!$O13),U$4&lt;=Timeline!$O13,EOMONTH(U$4,0)&gt;Timeline!$K13),"S",""))))</f>
        <v>S</v>
      </c>
      <c r="V8" s="17" t="str">
        <f aca="false">IF(AND(ISNUMBER(Timeline!$E13),ISNUMBER(Timeline!$F13),V$4&lt;=Timeline!$F13,EOMONTH(V$4,0)&gt;=Timeline!$E13),"C",IF(AND(ISNUMBER(Timeline!$F13),ISNUMBER(Timeline!$K13),V$4&lt;=Timeline!$K13,EOMONTH(V$4,0)&gt;Timeline!$F13),"P",IF(AND(ISNUMBER(Timeline!$H13),ISNUMBER(Timeline!$K13),NOT(ISNUMBER(Timeline!$F13)),V$4&lt;=Timeline!$K13,EOMONTH(V$4,0)&gt;=Timeline!$H13),"P",IF(AND(ISNUMBER(Timeline!$K13),ISNUMBER(Timeline!$O13),V$4&lt;=Timeline!$O13,EOMONTH(V$4,0)&gt;Timeline!$K13),"S",""))))</f>
        <v/>
      </c>
      <c r="W8" s="17" t="str">
        <f aca="false">IF(AND(ISNUMBER(Timeline!$E13),ISNUMBER(Timeline!$F13),W$4&lt;=Timeline!$F13,EOMONTH(W$4,0)&gt;=Timeline!$E13),"C",IF(AND(ISNUMBER(Timeline!$F13),ISNUMBER(Timeline!$K13),W$4&lt;=Timeline!$K13,EOMONTH(W$4,0)&gt;Timeline!$F13),"P",IF(AND(ISNUMBER(Timeline!$H13),ISNUMBER(Timeline!$K13),NOT(ISNUMBER(Timeline!$F13)),W$4&lt;=Timeline!$K13,EOMONTH(W$4,0)&gt;=Timeline!$H13),"P",IF(AND(ISNUMBER(Timeline!$K13),ISNUMBER(Timeline!$O13),W$4&lt;=Timeline!$O13,EOMONTH(W$4,0)&gt;Timeline!$K13),"S",""))))</f>
        <v/>
      </c>
      <c r="X8" s="17" t="str">
        <f aca="false">IF(AND(ISNUMBER(Timeline!$E13),ISNUMBER(Timeline!$F13),X$4&lt;=Timeline!$F13,EOMONTH(X$4,0)&gt;=Timeline!$E13),"C",IF(AND(ISNUMBER(Timeline!$F13),ISNUMBER(Timeline!$K13),X$4&lt;=Timeline!$K13,EOMONTH(X$4,0)&gt;Timeline!$F13),"P",IF(AND(ISNUMBER(Timeline!$H13),ISNUMBER(Timeline!$K13),NOT(ISNUMBER(Timeline!$F13)),X$4&lt;=Timeline!$K13,EOMONTH(X$4,0)&gt;=Timeline!$H13),"P",IF(AND(ISNUMBER(Timeline!$K13),ISNUMBER(Timeline!$O13),X$4&lt;=Timeline!$O13,EOMONTH(X$4,0)&gt;Timeline!$K13),"S",""))))</f>
        <v/>
      </c>
      <c r="Y8" s="17" t="str">
        <f aca="false">IF(AND(ISNUMBER(Timeline!$E13),ISNUMBER(Timeline!$F13),Y$4&lt;=Timeline!$F13,EOMONTH(Y$4,0)&gt;=Timeline!$E13),"C",IF(AND(ISNUMBER(Timeline!$F13),ISNUMBER(Timeline!$K13),Y$4&lt;=Timeline!$K13,EOMONTH(Y$4,0)&gt;Timeline!$F13),"P",IF(AND(ISNUMBER(Timeline!$H13),ISNUMBER(Timeline!$K13),NOT(ISNUMBER(Timeline!$F13)),Y$4&lt;=Timeline!$K13,EOMONTH(Y$4,0)&gt;=Timeline!$H13),"P",IF(AND(ISNUMBER(Timeline!$K13),ISNUMBER(Timeline!$O13),Y$4&lt;=Timeline!$O13,EOMONTH(Y$4,0)&gt;Timeline!$K13),"S",""))))</f>
        <v/>
      </c>
      <c r="Z8" s="17" t="str">
        <f aca="false">IF(AND(ISNUMBER(Timeline!$E13),ISNUMBER(Timeline!$F13),Z$4&lt;=Timeline!$F13,EOMONTH(Z$4,0)&gt;=Timeline!$E13),"C",IF(AND(ISNUMBER(Timeline!$F13),ISNUMBER(Timeline!$K13),Z$4&lt;=Timeline!$K13,EOMONTH(Z$4,0)&gt;Timeline!$F13),"P",IF(AND(ISNUMBER(Timeline!$H13),ISNUMBER(Timeline!$K13),NOT(ISNUMBER(Timeline!$F13)),Z$4&lt;=Timeline!$K13,EOMONTH(Z$4,0)&gt;=Timeline!$H13),"P",IF(AND(ISNUMBER(Timeline!$K13),ISNUMBER(Timeline!$O13),Z$4&lt;=Timeline!$O13,EOMONTH(Z$4,0)&gt;Timeline!$K13),"S",""))))</f>
        <v/>
      </c>
      <c r="AA8" s="17" t="str">
        <f aca="false">IF(AND(ISNUMBER(Timeline!$E13),ISNUMBER(Timeline!$F13),AA$4&lt;=Timeline!$F13,EOMONTH(AA$4,0)&gt;=Timeline!$E13),"C",IF(AND(ISNUMBER(Timeline!$F13),ISNUMBER(Timeline!$K13),AA$4&lt;=Timeline!$K13,EOMONTH(AA$4,0)&gt;Timeline!$F13),"P",IF(AND(ISNUMBER(Timeline!$H13),ISNUMBER(Timeline!$K13),NOT(ISNUMBER(Timeline!$F13)),AA$4&lt;=Timeline!$K13,EOMONTH(AA$4,0)&gt;=Timeline!$H13),"P",IF(AND(ISNUMBER(Timeline!$K13),ISNUMBER(Timeline!$O13),AA$4&lt;=Timeline!$O13,EOMONTH(AA$4,0)&gt;Timeline!$K13),"S",""))))</f>
        <v/>
      </c>
      <c r="AB8" s="17" t="str">
        <f aca="false">IF(AND(ISNUMBER(Timeline!$E13),ISNUMBER(Timeline!$F13),AB$4&lt;=Timeline!$F13,EOMONTH(AB$4,0)&gt;=Timeline!$E13),"C",IF(AND(ISNUMBER(Timeline!$F13),ISNUMBER(Timeline!$K13),AB$4&lt;=Timeline!$K13,EOMONTH(AB$4,0)&gt;Timeline!$F13),"P",IF(AND(ISNUMBER(Timeline!$H13),ISNUMBER(Timeline!$K13),NOT(ISNUMBER(Timeline!$F13)),AB$4&lt;=Timeline!$K13,EOMONTH(AB$4,0)&gt;=Timeline!$H13),"P",IF(AND(ISNUMBER(Timeline!$K13),ISNUMBER(Timeline!$O13),AB$4&lt;=Timeline!$O13,EOMONTH(AB$4,0)&gt;Timeline!$K13),"S",""))))</f>
        <v/>
      </c>
      <c r="AC8" s="17" t="str">
        <f aca="false">IF(AND(ISNUMBER(Timeline!$E13),ISNUMBER(Timeline!$F13),AC$4&lt;=Timeline!$F13,EOMONTH(AC$4,0)&gt;=Timeline!$E13),"C",IF(AND(ISNUMBER(Timeline!$F13),ISNUMBER(Timeline!$K13),AC$4&lt;=Timeline!$K13,EOMONTH(AC$4,0)&gt;Timeline!$F13),"P",IF(AND(ISNUMBER(Timeline!$H13),ISNUMBER(Timeline!$K13),NOT(ISNUMBER(Timeline!$F13)),AC$4&lt;=Timeline!$K13,EOMONTH(AC$4,0)&gt;=Timeline!$H13),"P",IF(AND(ISNUMBER(Timeline!$K13),ISNUMBER(Timeline!$O13),AC$4&lt;=Timeline!$O13,EOMONTH(AC$4,0)&gt;Timeline!$K13),"S",""))))</f>
        <v/>
      </c>
      <c r="AD8" s="17" t="str">
        <f aca="false">IF(AND(ISNUMBER(Timeline!$E13),ISNUMBER(Timeline!$F13),AD$4&lt;=Timeline!$F13,EOMONTH(AD$4,0)&gt;=Timeline!$E13),"C",IF(AND(ISNUMBER(Timeline!$F13),ISNUMBER(Timeline!$K13),AD$4&lt;=Timeline!$K13,EOMONTH(AD$4,0)&gt;Timeline!$F13),"P",IF(AND(ISNUMBER(Timeline!$H13),ISNUMBER(Timeline!$K13),NOT(ISNUMBER(Timeline!$F13)),AD$4&lt;=Timeline!$K13,EOMONTH(AD$4,0)&gt;=Timeline!$H13),"P",IF(AND(ISNUMBER(Timeline!$K13),ISNUMBER(Timeline!$O13),AD$4&lt;=Timeline!$O13,EOMONTH(AD$4,0)&gt;Timeline!$K13),"S",""))))</f>
        <v/>
      </c>
      <c r="AE8" s="17" t="str">
        <f aca="false">IF(AND(ISNUMBER(Timeline!$E13),ISNUMBER(Timeline!$F13),AE$4&lt;=Timeline!$F13,EOMONTH(AE$4,0)&gt;=Timeline!$E13),"C",IF(AND(ISNUMBER(Timeline!$F13),ISNUMBER(Timeline!$K13),AE$4&lt;=Timeline!$K13,EOMONTH(AE$4,0)&gt;Timeline!$F13),"P",IF(AND(ISNUMBER(Timeline!$H13),ISNUMBER(Timeline!$K13),NOT(ISNUMBER(Timeline!$F13)),AE$4&lt;=Timeline!$K13,EOMONTH(AE$4,0)&gt;=Timeline!$H13),"P",IF(AND(ISNUMBER(Timeline!$K13),ISNUMBER(Timeline!$O13),AE$4&lt;=Timeline!$O13,EOMONTH(AE$4,0)&gt;Timeline!$K13),"S",""))))</f>
        <v/>
      </c>
      <c r="AF8" s="17" t="str">
        <f aca="false">IF(AND(ISNUMBER(Timeline!$E13),ISNUMBER(Timeline!$F13),AF$4&lt;=Timeline!$F13,EOMONTH(AF$4,0)&gt;=Timeline!$E13),"C",IF(AND(ISNUMBER(Timeline!$F13),ISNUMBER(Timeline!$K13),AF$4&lt;=Timeline!$K13,EOMONTH(AF$4,0)&gt;Timeline!$F13),"P",IF(AND(ISNUMBER(Timeline!$H13),ISNUMBER(Timeline!$K13),NOT(ISNUMBER(Timeline!$F13)),AF$4&lt;=Timeline!$K13,EOMONTH(AF$4,0)&gt;=Timeline!$H13),"P",IF(AND(ISNUMBER(Timeline!$K13),ISNUMBER(Timeline!$O13),AF$4&lt;=Timeline!$O13,EOMONTH(AF$4,0)&gt;Timeline!$K13),"S",""))))</f>
        <v/>
      </c>
      <c r="AG8" s="17" t="str">
        <f aca="false">IF(AND(ISNUMBER(Timeline!$E13),ISNUMBER(Timeline!$F13),AG$4&lt;=Timeline!$F13,EOMONTH(AG$4,0)&gt;=Timeline!$E13),"C",IF(AND(ISNUMBER(Timeline!$F13),ISNUMBER(Timeline!$K13),AG$4&lt;=Timeline!$K13,EOMONTH(AG$4,0)&gt;Timeline!$F13),"P",IF(AND(ISNUMBER(Timeline!$H13),ISNUMBER(Timeline!$K13),NOT(ISNUMBER(Timeline!$F13)),AG$4&lt;=Timeline!$K13,EOMONTH(AG$4,0)&gt;=Timeline!$H13),"P",IF(AND(ISNUMBER(Timeline!$K13),ISNUMBER(Timeline!$O13),AG$4&lt;=Timeline!$O13,EOMONTH(AG$4,0)&gt;Timeline!$K13),"S",""))))</f>
        <v/>
      </c>
      <c r="AH8" s="17" t="str">
        <f aca="false">IF(AND(ISNUMBER(Timeline!$E13),ISNUMBER(Timeline!$F13),AH$4&lt;=Timeline!$F13,EOMONTH(AH$4,0)&gt;=Timeline!$E13),"C",IF(AND(ISNUMBER(Timeline!$F13),ISNUMBER(Timeline!$K13),AH$4&lt;=Timeline!$K13,EOMONTH(AH$4,0)&gt;Timeline!$F13),"P",IF(AND(ISNUMBER(Timeline!$H13),ISNUMBER(Timeline!$K13),NOT(ISNUMBER(Timeline!$F13)),AH$4&lt;=Timeline!$K13,EOMONTH(AH$4,0)&gt;=Timeline!$H13),"P",IF(AND(ISNUMBER(Timeline!$K13),ISNUMBER(Timeline!$O13),AH$4&lt;=Timeline!$O13,EOMONTH(AH$4,0)&gt;Timeline!$K13),"S",""))))</f>
        <v/>
      </c>
    </row>
    <row r="9" customFormat="false" ht="15" hidden="false" customHeight="false" outlineLevel="0" collapsed="false">
      <c r="A9" s="5" t="n">
        <v>5</v>
      </c>
      <c r="B9" s="16" t="s">
        <v>41</v>
      </c>
      <c r="C9" s="16" t="s">
        <v>26</v>
      </c>
      <c r="D9" s="17" t="str">
        <f aca="false">IF(AND(ISNUMBER(Timeline!$E14),ISNUMBER(Timeline!$F14),D$4&lt;=Timeline!$F14,EOMONTH(D$4,0)&gt;=Timeline!$E14),"C",IF(AND(ISNUMBER(Timeline!$F14),ISNUMBER(Timeline!$K14),D$4&lt;=Timeline!$K14,EOMONTH(D$4,0)&gt;Timeline!$F14),"P",IF(AND(ISNUMBER(Timeline!$H14),ISNUMBER(Timeline!$K14),NOT(ISNUMBER(Timeline!$F14)),D$4&lt;=Timeline!$K14,EOMONTH(D$4,0)&gt;=Timeline!$H14),"P",IF(AND(ISNUMBER(Timeline!$K14),ISNUMBER(Timeline!$O14),D$4&lt;=Timeline!$O14,EOMONTH(D$4,0)&gt;Timeline!$K14),"S",""))))</f>
        <v/>
      </c>
      <c r="E9" s="17" t="str">
        <f aca="false">IF(AND(ISNUMBER(Timeline!$E14),ISNUMBER(Timeline!$F14),E$4&lt;=Timeline!$F14,EOMONTH(E$4,0)&gt;=Timeline!$E14),"C",IF(AND(ISNUMBER(Timeline!$F14),ISNUMBER(Timeline!$K14),E$4&lt;=Timeline!$K14,EOMONTH(E$4,0)&gt;Timeline!$F14),"P",IF(AND(ISNUMBER(Timeline!$H14),ISNUMBER(Timeline!$K14),NOT(ISNUMBER(Timeline!$F14)),E$4&lt;=Timeline!$K14,EOMONTH(E$4,0)&gt;=Timeline!$H14),"P",IF(AND(ISNUMBER(Timeline!$K14),ISNUMBER(Timeline!$O14),E$4&lt;=Timeline!$O14,EOMONTH(E$4,0)&gt;Timeline!$K14),"S",""))))</f>
        <v/>
      </c>
      <c r="F9" s="17" t="str">
        <f aca="false">IF(AND(ISNUMBER(Timeline!$E14),ISNUMBER(Timeline!$F14),F$4&lt;=Timeline!$F14,EOMONTH(F$4,0)&gt;=Timeline!$E14),"C",IF(AND(ISNUMBER(Timeline!$F14),ISNUMBER(Timeline!$K14),F$4&lt;=Timeline!$K14,EOMONTH(F$4,0)&gt;Timeline!$F14),"P",IF(AND(ISNUMBER(Timeline!$H14),ISNUMBER(Timeline!$K14),NOT(ISNUMBER(Timeline!$F14)),F$4&lt;=Timeline!$K14,EOMONTH(F$4,0)&gt;=Timeline!$H14),"P",IF(AND(ISNUMBER(Timeline!$K14),ISNUMBER(Timeline!$O14),F$4&lt;=Timeline!$O14,EOMONTH(F$4,0)&gt;Timeline!$K14),"S",""))))</f>
        <v>C</v>
      </c>
      <c r="G9" s="17" t="str">
        <f aca="false">IF(AND(ISNUMBER(Timeline!$E14),ISNUMBER(Timeline!$F14),G$4&lt;=Timeline!$F14,EOMONTH(G$4,0)&gt;=Timeline!$E14),"C",IF(AND(ISNUMBER(Timeline!$F14),ISNUMBER(Timeline!$K14),G$4&lt;=Timeline!$K14,EOMONTH(G$4,0)&gt;Timeline!$F14),"P",IF(AND(ISNUMBER(Timeline!$H14),ISNUMBER(Timeline!$K14),NOT(ISNUMBER(Timeline!$F14)),G$4&lt;=Timeline!$K14,EOMONTH(G$4,0)&gt;=Timeline!$H14),"P",IF(AND(ISNUMBER(Timeline!$K14),ISNUMBER(Timeline!$O14),G$4&lt;=Timeline!$O14,EOMONTH(G$4,0)&gt;Timeline!$K14),"S",""))))</f>
        <v>C</v>
      </c>
      <c r="H9" s="17" t="str">
        <f aca="false">IF(AND(ISNUMBER(Timeline!$E14),ISNUMBER(Timeline!$F14),H$4&lt;=Timeline!$F14,EOMONTH(H$4,0)&gt;=Timeline!$E14),"C",IF(AND(ISNUMBER(Timeline!$F14),ISNUMBER(Timeline!$K14),H$4&lt;=Timeline!$K14,EOMONTH(H$4,0)&gt;Timeline!$F14),"P",IF(AND(ISNUMBER(Timeline!$H14),ISNUMBER(Timeline!$K14),NOT(ISNUMBER(Timeline!$F14)),H$4&lt;=Timeline!$K14,EOMONTH(H$4,0)&gt;=Timeline!$H14),"P",IF(AND(ISNUMBER(Timeline!$K14),ISNUMBER(Timeline!$O14),H$4&lt;=Timeline!$O14,EOMONTH(H$4,0)&gt;Timeline!$K14),"S",""))))</f>
        <v>C</v>
      </c>
      <c r="I9" s="17" t="str">
        <f aca="false">IF(AND(ISNUMBER(Timeline!$E14),ISNUMBER(Timeline!$F14),I$4&lt;=Timeline!$F14,EOMONTH(I$4,0)&gt;=Timeline!$E14),"C",IF(AND(ISNUMBER(Timeline!$F14),ISNUMBER(Timeline!$K14),I$4&lt;=Timeline!$K14,EOMONTH(I$4,0)&gt;Timeline!$F14),"P",IF(AND(ISNUMBER(Timeline!$H14),ISNUMBER(Timeline!$K14),NOT(ISNUMBER(Timeline!$F14)),I$4&lt;=Timeline!$K14,EOMONTH(I$4,0)&gt;=Timeline!$H14),"P",IF(AND(ISNUMBER(Timeline!$K14),ISNUMBER(Timeline!$O14),I$4&lt;=Timeline!$O14,EOMONTH(I$4,0)&gt;Timeline!$K14),"S",""))))</f>
        <v>C</v>
      </c>
      <c r="J9" s="17" t="str">
        <f aca="false">IF(AND(ISNUMBER(Timeline!$E14),ISNUMBER(Timeline!$F14),J$4&lt;=Timeline!$F14,EOMONTH(J$4,0)&gt;=Timeline!$E14),"C",IF(AND(ISNUMBER(Timeline!$F14),ISNUMBER(Timeline!$K14),J$4&lt;=Timeline!$K14,EOMONTH(J$4,0)&gt;Timeline!$F14),"P",IF(AND(ISNUMBER(Timeline!$H14),ISNUMBER(Timeline!$K14),NOT(ISNUMBER(Timeline!$F14)),J$4&lt;=Timeline!$K14,EOMONTH(J$4,0)&gt;=Timeline!$H14),"P",IF(AND(ISNUMBER(Timeline!$K14),ISNUMBER(Timeline!$O14),J$4&lt;=Timeline!$O14,EOMONTH(J$4,0)&gt;Timeline!$K14),"S",""))))</f>
        <v>P</v>
      </c>
      <c r="K9" s="17" t="str">
        <f aca="false">IF(AND(ISNUMBER(Timeline!$E14),ISNUMBER(Timeline!$F14),K$4&lt;=Timeline!$F14,EOMONTH(K$4,0)&gt;=Timeline!$E14),"C",IF(AND(ISNUMBER(Timeline!$F14),ISNUMBER(Timeline!$K14),K$4&lt;=Timeline!$K14,EOMONTH(K$4,0)&gt;Timeline!$F14),"P",IF(AND(ISNUMBER(Timeline!$H14),ISNUMBER(Timeline!$K14),NOT(ISNUMBER(Timeline!$F14)),K$4&lt;=Timeline!$K14,EOMONTH(K$4,0)&gt;=Timeline!$H14),"P",IF(AND(ISNUMBER(Timeline!$K14),ISNUMBER(Timeline!$O14),K$4&lt;=Timeline!$O14,EOMONTH(K$4,0)&gt;Timeline!$K14),"S",""))))</f>
        <v>P</v>
      </c>
      <c r="L9" s="17" t="str">
        <f aca="false">IF(AND(ISNUMBER(Timeline!$E14),ISNUMBER(Timeline!$F14),L$4&lt;=Timeline!$F14,EOMONTH(L$4,0)&gt;=Timeline!$E14),"C",IF(AND(ISNUMBER(Timeline!$F14),ISNUMBER(Timeline!$K14),L$4&lt;=Timeline!$K14,EOMONTH(L$4,0)&gt;Timeline!$F14),"P",IF(AND(ISNUMBER(Timeline!$H14),ISNUMBER(Timeline!$K14),NOT(ISNUMBER(Timeline!$F14)),L$4&lt;=Timeline!$K14,EOMONTH(L$4,0)&gt;=Timeline!$H14),"P",IF(AND(ISNUMBER(Timeline!$K14),ISNUMBER(Timeline!$O14),L$4&lt;=Timeline!$O14,EOMONTH(L$4,0)&gt;Timeline!$K14),"S",""))))</f>
        <v>P</v>
      </c>
      <c r="M9" s="17" t="str">
        <f aca="false">IF(AND(ISNUMBER(Timeline!$E14),ISNUMBER(Timeline!$F14),M$4&lt;=Timeline!$F14,EOMONTH(M$4,0)&gt;=Timeline!$E14),"C",IF(AND(ISNUMBER(Timeline!$F14),ISNUMBER(Timeline!$K14),M$4&lt;=Timeline!$K14,EOMONTH(M$4,0)&gt;Timeline!$F14),"P",IF(AND(ISNUMBER(Timeline!$H14),ISNUMBER(Timeline!$K14),NOT(ISNUMBER(Timeline!$F14)),M$4&lt;=Timeline!$K14,EOMONTH(M$4,0)&gt;=Timeline!$H14),"P",IF(AND(ISNUMBER(Timeline!$K14),ISNUMBER(Timeline!$O14),M$4&lt;=Timeline!$O14,EOMONTH(M$4,0)&gt;Timeline!$K14),"S",""))))</f>
        <v>P</v>
      </c>
      <c r="N9" s="17" t="str">
        <f aca="false">IF(AND(ISNUMBER(Timeline!$E14),ISNUMBER(Timeline!$F14),N$4&lt;=Timeline!$F14,EOMONTH(N$4,0)&gt;=Timeline!$E14),"C",IF(AND(ISNUMBER(Timeline!$F14),ISNUMBER(Timeline!$K14),N$4&lt;=Timeline!$K14,EOMONTH(N$4,0)&gt;Timeline!$F14),"P",IF(AND(ISNUMBER(Timeline!$H14),ISNUMBER(Timeline!$K14),NOT(ISNUMBER(Timeline!$F14)),N$4&lt;=Timeline!$K14,EOMONTH(N$4,0)&gt;=Timeline!$H14),"P",IF(AND(ISNUMBER(Timeline!$K14),ISNUMBER(Timeline!$O14),N$4&lt;=Timeline!$O14,EOMONTH(N$4,0)&gt;Timeline!$K14),"S",""))))</f>
        <v>P</v>
      </c>
      <c r="O9" s="17" t="str">
        <f aca="false">IF(AND(ISNUMBER(Timeline!$E14),ISNUMBER(Timeline!$F14),O$4&lt;=Timeline!$F14,EOMONTH(O$4,0)&gt;=Timeline!$E14),"C",IF(AND(ISNUMBER(Timeline!$F14),ISNUMBER(Timeline!$K14),O$4&lt;=Timeline!$K14,EOMONTH(O$4,0)&gt;Timeline!$F14),"P",IF(AND(ISNUMBER(Timeline!$H14),ISNUMBER(Timeline!$K14),NOT(ISNUMBER(Timeline!$F14)),O$4&lt;=Timeline!$K14,EOMONTH(O$4,0)&gt;=Timeline!$H14),"P",IF(AND(ISNUMBER(Timeline!$K14),ISNUMBER(Timeline!$O14),O$4&lt;=Timeline!$O14,EOMONTH(O$4,0)&gt;Timeline!$K14),"S",""))))</f>
        <v>P</v>
      </c>
      <c r="P9" s="17" t="str">
        <f aca="false">IF(AND(ISNUMBER(Timeline!$E14),ISNUMBER(Timeline!$F14),P$4&lt;=Timeline!$F14,EOMONTH(P$4,0)&gt;=Timeline!$E14),"C",IF(AND(ISNUMBER(Timeline!$F14),ISNUMBER(Timeline!$K14),P$4&lt;=Timeline!$K14,EOMONTH(P$4,0)&gt;Timeline!$F14),"P",IF(AND(ISNUMBER(Timeline!$H14),ISNUMBER(Timeline!$K14),NOT(ISNUMBER(Timeline!$F14)),P$4&lt;=Timeline!$K14,EOMONTH(P$4,0)&gt;=Timeline!$H14),"P",IF(AND(ISNUMBER(Timeline!$K14),ISNUMBER(Timeline!$O14),P$4&lt;=Timeline!$O14,EOMONTH(P$4,0)&gt;Timeline!$K14),"S",""))))</f>
        <v>P</v>
      </c>
      <c r="Q9" s="17" t="str">
        <f aca="false">IF(AND(ISNUMBER(Timeline!$E14),ISNUMBER(Timeline!$F14),Q$4&lt;=Timeline!$F14,EOMONTH(Q$4,0)&gt;=Timeline!$E14),"C",IF(AND(ISNUMBER(Timeline!$F14),ISNUMBER(Timeline!$K14),Q$4&lt;=Timeline!$K14,EOMONTH(Q$4,0)&gt;Timeline!$F14),"P",IF(AND(ISNUMBER(Timeline!$H14),ISNUMBER(Timeline!$K14),NOT(ISNUMBER(Timeline!$F14)),Q$4&lt;=Timeline!$K14,EOMONTH(Q$4,0)&gt;=Timeline!$H14),"P",IF(AND(ISNUMBER(Timeline!$K14),ISNUMBER(Timeline!$O14),Q$4&lt;=Timeline!$O14,EOMONTH(Q$4,0)&gt;Timeline!$K14),"S",""))))</f>
        <v>P</v>
      </c>
      <c r="R9" s="17" t="str">
        <f aca="false">IF(AND(ISNUMBER(Timeline!$E14),ISNUMBER(Timeline!$F14),R$4&lt;=Timeline!$F14,EOMONTH(R$4,0)&gt;=Timeline!$E14),"C",IF(AND(ISNUMBER(Timeline!$F14),ISNUMBER(Timeline!$K14),R$4&lt;=Timeline!$K14,EOMONTH(R$4,0)&gt;Timeline!$F14),"P",IF(AND(ISNUMBER(Timeline!$H14),ISNUMBER(Timeline!$K14),NOT(ISNUMBER(Timeline!$F14)),R$4&lt;=Timeline!$K14,EOMONTH(R$4,0)&gt;=Timeline!$H14),"P",IF(AND(ISNUMBER(Timeline!$K14),ISNUMBER(Timeline!$O14),R$4&lt;=Timeline!$O14,EOMONTH(R$4,0)&gt;Timeline!$K14),"S",""))))</f>
        <v>P</v>
      </c>
      <c r="S9" s="17" t="str">
        <f aca="false">IF(AND(ISNUMBER(Timeline!$E14),ISNUMBER(Timeline!$F14),S$4&lt;=Timeline!$F14,EOMONTH(S$4,0)&gt;=Timeline!$E14),"C",IF(AND(ISNUMBER(Timeline!$F14),ISNUMBER(Timeline!$K14),S$4&lt;=Timeline!$K14,EOMONTH(S$4,0)&gt;Timeline!$F14),"P",IF(AND(ISNUMBER(Timeline!$H14),ISNUMBER(Timeline!$K14),NOT(ISNUMBER(Timeline!$F14)),S$4&lt;=Timeline!$K14,EOMONTH(S$4,0)&gt;=Timeline!$H14),"P",IF(AND(ISNUMBER(Timeline!$K14),ISNUMBER(Timeline!$O14),S$4&lt;=Timeline!$O14,EOMONTH(S$4,0)&gt;Timeline!$K14),"S",""))))</f>
        <v>S</v>
      </c>
      <c r="T9" s="17" t="str">
        <f aca="false">IF(AND(ISNUMBER(Timeline!$E14),ISNUMBER(Timeline!$F14),T$4&lt;=Timeline!$F14,EOMONTH(T$4,0)&gt;=Timeline!$E14),"C",IF(AND(ISNUMBER(Timeline!$F14),ISNUMBER(Timeline!$K14),T$4&lt;=Timeline!$K14,EOMONTH(T$4,0)&gt;Timeline!$F14),"P",IF(AND(ISNUMBER(Timeline!$H14),ISNUMBER(Timeline!$K14),NOT(ISNUMBER(Timeline!$F14)),T$4&lt;=Timeline!$K14,EOMONTH(T$4,0)&gt;=Timeline!$H14),"P",IF(AND(ISNUMBER(Timeline!$K14),ISNUMBER(Timeline!$O14),T$4&lt;=Timeline!$O14,EOMONTH(T$4,0)&gt;Timeline!$K14),"S",""))))</f>
        <v>S</v>
      </c>
      <c r="U9" s="17" t="str">
        <f aca="false">IF(AND(ISNUMBER(Timeline!$E14),ISNUMBER(Timeline!$F14),U$4&lt;=Timeline!$F14,EOMONTH(U$4,0)&gt;=Timeline!$E14),"C",IF(AND(ISNUMBER(Timeline!$F14),ISNUMBER(Timeline!$K14),U$4&lt;=Timeline!$K14,EOMONTH(U$4,0)&gt;Timeline!$F14),"P",IF(AND(ISNUMBER(Timeline!$H14),ISNUMBER(Timeline!$K14),NOT(ISNUMBER(Timeline!$F14)),U$4&lt;=Timeline!$K14,EOMONTH(U$4,0)&gt;=Timeline!$H14),"P",IF(AND(ISNUMBER(Timeline!$K14),ISNUMBER(Timeline!$O14),U$4&lt;=Timeline!$O14,EOMONTH(U$4,0)&gt;Timeline!$K14),"S",""))))</f>
        <v>S</v>
      </c>
      <c r="V9" s="17" t="str">
        <f aca="false">IF(AND(ISNUMBER(Timeline!$E14),ISNUMBER(Timeline!$F14),V$4&lt;=Timeline!$F14,EOMONTH(V$4,0)&gt;=Timeline!$E14),"C",IF(AND(ISNUMBER(Timeline!$F14),ISNUMBER(Timeline!$K14),V$4&lt;=Timeline!$K14,EOMONTH(V$4,0)&gt;Timeline!$F14),"P",IF(AND(ISNUMBER(Timeline!$H14),ISNUMBER(Timeline!$K14),NOT(ISNUMBER(Timeline!$F14)),V$4&lt;=Timeline!$K14,EOMONTH(V$4,0)&gt;=Timeline!$H14),"P",IF(AND(ISNUMBER(Timeline!$K14),ISNUMBER(Timeline!$O14),V$4&lt;=Timeline!$O14,EOMONTH(V$4,0)&gt;Timeline!$K14),"S",""))))</f>
        <v>S</v>
      </c>
      <c r="W9" s="17" t="str">
        <f aca="false">IF(AND(ISNUMBER(Timeline!$E14),ISNUMBER(Timeline!$F14),W$4&lt;=Timeline!$F14,EOMONTH(W$4,0)&gt;=Timeline!$E14),"C",IF(AND(ISNUMBER(Timeline!$F14),ISNUMBER(Timeline!$K14),W$4&lt;=Timeline!$K14,EOMONTH(W$4,0)&gt;Timeline!$F14),"P",IF(AND(ISNUMBER(Timeline!$H14),ISNUMBER(Timeline!$K14),NOT(ISNUMBER(Timeline!$F14)),W$4&lt;=Timeline!$K14,EOMONTH(W$4,0)&gt;=Timeline!$H14),"P",IF(AND(ISNUMBER(Timeline!$K14),ISNUMBER(Timeline!$O14),W$4&lt;=Timeline!$O14,EOMONTH(W$4,0)&gt;Timeline!$K14),"S",""))))</f>
        <v>S</v>
      </c>
      <c r="X9" s="17" t="str">
        <f aca="false">IF(AND(ISNUMBER(Timeline!$E14),ISNUMBER(Timeline!$F14),X$4&lt;=Timeline!$F14,EOMONTH(X$4,0)&gt;=Timeline!$E14),"C",IF(AND(ISNUMBER(Timeline!$F14),ISNUMBER(Timeline!$K14),X$4&lt;=Timeline!$K14,EOMONTH(X$4,0)&gt;Timeline!$F14),"P",IF(AND(ISNUMBER(Timeline!$H14),ISNUMBER(Timeline!$K14),NOT(ISNUMBER(Timeline!$F14)),X$4&lt;=Timeline!$K14,EOMONTH(X$4,0)&gt;=Timeline!$H14),"P",IF(AND(ISNUMBER(Timeline!$K14),ISNUMBER(Timeline!$O14),X$4&lt;=Timeline!$O14,EOMONTH(X$4,0)&gt;Timeline!$K14),"S",""))))</f>
        <v/>
      </c>
      <c r="Y9" s="17" t="str">
        <f aca="false">IF(AND(ISNUMBER(Timeline!$E14),ISNUMBER(Timeline!$F14),Y$4&lt;=Timeline!$F14,EOMONTH(Y$4,0)&gt;=Timeline!$E14),"C",IF(AND(ISNUMBER(Timeline!$F14),ISNUMBER(Timeline!$K14),Y$4&lt;=Timeline!$K14,EOMONTH(Y$4,0)&gt;Timeline!$F14),"P",IF(AND(ISNUMBER(Timeline!$H14),ISNUMBER(Timeline!$K14),NOT(ISNUMBER(Timeline!$F14)),Y$4&lt;=Timeline!$K14,EOMONTH(Y$4,0)&gt;=Timeline!$H14),"P",IF(AND(ISNUMBER(Timeline!$K14),ISNUMBER(Timeline!$O14),Y$4&lt;=Timeline!$O14,EOMONTH(Y$4,0)&gt;Timeline!$K14),"S",""))))</f>
        <v/>
      </c>
      <c r="Z9" s="17" t="str">
        <f aca="false">IF(AND(ISNUMBER(Timeline!$E14),ISNUMBER(Timeline!$F14),Z$4&lt;=Timeline!$F14,EOMONTH(Z$4,0)&gt;=Timeline!$E14),"C",IF(AND(ISNUMBER(Timeline!$F14),ISNUMBER(Timeline!$K14),Z$4&lt;=Timeline!$K14,EOMONTH(Z$4,0)&gt;Timeline!$F14),"P",IF(AND(ISNUMBER(Timeline!$H14),ISNUMBER(Timeline!$K14),NOT(ISNUMBER(Timeline!$F14)),Z$4&lt;=Timeline!$K14,EOMONTH(Z$4,0)&gt;=Timeline!$H14),"P",IF(AND(ISNUMBER(Timeline!$K14),ISNUMBER(Timeline!$O14),Z$4&lt;=Timeline!$O14,EOMONTH(Z$4,0)&gt;Timeline!$K14),"S",""))))</f>
        <v/>
      </c>
      <c r="AA9" s="17" t="str">
        <f aca="false">IF(AND(ISNUMBER(Timeline!$E14),ISNUMBER(Timeline!$F14),AA$4&lt;=Timeline!$F14,EOMONTH(AA$4,0)&gt;=Timeline!$E14),"C",IF(AND(ISNUMBER(Timeline!$F14),ISNUMBER(Timeline!$K14),AA$4&lt;=Timeline!$K14,EOMONTH(AA$4,0)&gt;Timeline!$F14),"P",IF(AND(ISNUMBER(Timeline!$H14),ISNUMBER(Timeline!$K14),NOT(ISNUMBER(Timeline!$F14)),AA$4&lt;=Timeline!$K14,EOMONTH(AA$4,0)&gt;=Timeline!$H14),"P",IF(AND(ISNUMBER(Timeline!$K14),ISNUMBER(Timeline!$O14),AA$4&lt;=Timeline!$O14,EOMONTH(AA$4,0)&gt;Timeline!$K14),"S",""))))</f>
        <v/>
      </c>
      <c r="AB9" s="17" t="str">
        <f aca="false">IF(AND(ISNUMBER(Timeline!$E14),ISNUMBER(Timeline!$F14),AB$4&lt;=Timeline!$F14,EOMONTH(AB$4,0)&gt;=Timeline!$E14),"C",IF(AND(ISNUMBER(Timeline!$F14),ISNUMBER(Timeline!$K14),AB$4&lt;=Timeline!$K14,EOMONTH(AB$4,0)&gt;Timeline!$F14),"P",IF(AND(ISNUMBER(Timeline!$H14),ISNUMBER(Timeline!$K14),NOT(ISNUMBER(Timeline!$F14)),AB$4&lt;=Timeline!$K14,EOMONTH(AB$4,0)&gt;=Timeline!$H14),"P",IF(AND(ISNUMBER(Timeline!$K14),ISNUMBER(Timeline!$O14),AB$4&lt;=Timeline!$O14,EOMONTH(AB$4,0)&gt;Timeline!$K14),"S",""))))</f>
        <v/>
      </c>
      <c r="AC9" s="17" t="str">
        <f aca="false">IF(AND(ISNUMBER(Timeline!$E14),ISNUMBER(Timeline!$F14),AC$4&lt;=Timeline!$F14,EOMONTH(AC$4,0)&gt;=Timeline!$E14),"C",IF(AND(ISNUMBER(Timeline!$F14),ISNUMBER(Timeline!$K14),AC$4&lt;=Timeline!$K14,EOMONTH(AC$4,0)&gt;Timeline!$F14),"P",IF(AND(ISNUMBER(Timeline!$H14),ISNUMBER(Timeline!$K14),NOT(ISNUMBER(Timeline!$F14)),AC$4&lt;=Timeline!$K14,EOMONTH(AC$4,0)&gt;=Timeline!$H14),"P",IF(AND(ISNUMBER(Timeline!$K14),ISNUMBER(Timeline!$O14),AC$4&lt;=Timeline!$O14,EOMONTH(AC$4,0)&gt;Timeline!$K14),"S",""))))</f>
        <v/>
      </c>
      <c r="AD9" s="17" t="str">
        <f aca="false">IF(AND(ISNUMBER(Timeline!$E14),ISNUMBER(Timeline!$F14),AD$4&lt;=Timeline!$F14,EOMONTH(AD$4,0)&gt;=Timeline!$E14),"C",IF(AND(ISNUMBER(Timeline!$F14),ISNUMBER(Timeline!$K14),AD$4&lt;=Timeline!$K14,EOMONTH(AD$4,0)&gt;Timeline!$F14),"P",IF(AND(ISNUMBER(Timeline!$H14),ISNUMBER(Timeline!$K14),NOT(ISNUMBER(Timeline!$F14)),AD$4&lt;=Timeline!$K14,EOMONTH(AD$4,0)&gt;=Timeline!$H14),"P",IF(AND(ISNUMBER(Timeline!$K14),ISNUMBER(Timeline!$O14),AD$4&lt;=Timeline!$O14,EOMONTH(AD$4,0)&gt;Timeline!$K14),"S",""))))</f>
        <v/>
      </c>
      <c r="AE9" s="17" t="str">
        <f aca="false">IF(AND(ISNUMBER(Timeline!$E14),ISNUMBER(Timeline!$F14),AE$4&lt;=Timeline!$F14,EOMONTH(AE$4,0)&gt;=Timeline!$E14),"C",IF(AND(ISNUMBER(Timeline!$F14),ISNUMBER(Timeline!$K14),AE$4&lt;=Timeline!$K14,EOMONTH(AE$4,0)&gt;Timeline!$F14),"P",IF(AND(ISNUMBER(Timeline!$H14),ISNUMBER(Timeline!$K14),NOT(ISNUMBER(Timeline!$F14)),AE$4&lt;=Timeline!$K14,EOMONTH(AE$4,0)&gt;=Timeline!$H14),"P",IF(AND(ISNUMBER(Timeline!$K14),ISNUMBER(Timeline!$O14),AE$4&lt;=Timeline!$O14,EOMONTH(AE$4,0)&gt;Timeline!$K14),"S",""))))</f>
        <v/>
      </c>
      <c r="AF9" s="17" t="str">
        <f aca="false">IF(AND(ISNUMBER(Timeline!$E14),ISNUMBER(Timeline!$F14),AF$4&lt;=Timeline!$F14,EOMONTH(AF$4,0)&gt;=Timeline!$E14),"C",IF(AND(ISNUMBER(Timeline!$F14),ISNUMBER(Timeline!$K14),AF$4&lt;=Timeline!$K14,EOMONTH(AF$4,0)&gt;Timeline!$F14),"P",IF(AND(ISNUMBER(Timeline!$H14),ISNUMBER(Timeline!$K14),NOT(ISNUMBER(Timeline!$F14)),AF$4&lt;=Timeline!$K14,EOMONTH(AF$4,0)&gt;=Timeline!$H14),"P",IF(AND(ISNUMBER(Timeline!$K14),ISNUMBER(Timeline!$O14),AF$4&lt;=Timeline!$O14,EOMONTH(AF$4,0)&gt;Timeline!$K14),"S",""))))</f>
        <v/>
      </c>
      <c r="AG9" s="17" t="str">
        <f aca="false">IF(AND(ISNUMBER(Timeline!$E14),ISNUMBER(Timeline!$F14),AG$4&lt;=Timeline!$F14,EOMONTH(AG$4,0)&gt;=Timeline!$E14),"C",IF(AND(ISNUMBER(Timeline!$F14),ISNUMBER(Timeline!$K14),AG$4&lt;=Timeline!$K14,EOMONTH(AG$4,0)&gt;Timeline!$F14),"P",IF(AND(ISNUMBER(Timeline!$H14),ISNUMBER(Timeline!$K14),NOT(ISNUMBER(Timeline!$F14)),AG$4&lt;=Timeline!$K14,EOMONTH(AG$4,0)&gt;=Timeline!$H14),"P",IF(AND(ISNUMBER(Timeline!$K14),ISNUMBER(Timeline!$O14),AG$4&lt;=Timeline!$O14,EOMONTH(AG$4,0)&gt;Timeline!$K14),"S",""))))</f>
        <v/>
      </c>
      <c r="AH9" s="17" t="str">
        <f aca="false">IF(AND(ISNUMBER(Timeline!$E14),ISNUMBER(Timeline!$F14),AH$4&lt;=Timeline!$F14,EOMONTH(AH$4,0)&gt;=Timeline!$E14),"C",IF(AND(ISNUMBER(Timeline!$F14),ISNUMBER(Timeline!$K14),AH$4&lt;=Timeline!$K14,EOMONTH(AH$4,0)&gt;Timeline!$F14),"P",IF(AND(ISNUMBER(Timeline!$H14),ISNUMBER(Timeline!$K14),NOT(ISNUMBER(Timeline!$F14)),AH$4&lt;=Timeline!$K14,EOMONTH(AH$4,0)&gt;=Timeline!$H14),"P",IF(AND(ISNUMBER(Timeline!$K14),ISNUMBER(Timeline!$O14),AH$4&lt;=Timeline!$O14,EOMONTH(AH$4,0)&gt;Timeline!$K14),"S",""))))</f>
        <v/>
      </c>
    </row>
    <row r="10" customFormat="false" ht="15" hidden="false" customHeight="false" outlineLevel="0" collapsed="false">
      <c r="A10" s="5" t="n">
        <v>6</v>
      </c>
      <c r="B10" s="16" t="s">
        <v>43</v>
      </c>
      <c r="C10" s="16" t="s">
        <v>26</v>
      </c>
      <c r="D10" s="17" t="str">
        <f aca="false">IF(AND(ISNUMBER(Timeline!$E15),ISNUMBER(Timeline!$F15),D$4&lt;=Timeline!$F15,EOMONTH(D$4,0)&gt;=Timeline!$E15),"C",IF(AND(ISNUMBER(Timeline!$F15),ISNUMBER(Timeline!$K15),D$4&lt;=Timeline!$K15,EOMONTH(D$4,0)&gt;Timeline!$F15),"P",IF(AND(ISNUMBER(Timeline!$H15),ISNUMBER(Timeline!$K15),NOT(ISNUMBER(Timeline!$F15)),D$4&lt;=Timeline!$K15,EOMONTH(D$4,0)&gt;=Timeline!$H15),"P",IF(AND(ISNUMBER(Timeline!$K15),ISNUMBER(Timeline!$O15),D$4&lt;=Timeline!$O15,EOMONTH(D$4,0)&gt;Timeline!$K15),"S",""))))</f>
        <v/>
      </c>
      <c r="E10" s="17" t="str">
        <f aca="false">IF(AND(ISNUMBER(Timeline!$E15),ISNUMBER(Timeline!$F15),E$4&lt;=Timeline!$F15,EOMONTH(E$4,0)&gt;=Timeline!$E15),"C",IF(AND(ISNUMBER(Timeline!$F15),ISNUMBER(Timeline!$K15),E$4&lt;=Timeline!$K15,EOMONTH(E$4,0)&gt;Timeline!$F15),"P",IF(AND(ISNUMBER(Timeline!$H15),ISNUMBER(Timeline!$K15),NOT(ISNUMBER(Timeline!$F15)),E$4&lt;=Timeline!$K15,EOMONTH(E$4,0)&gt;=Timeline!$H15),"P",IF(AND(ISNUMBER(Timeline!$K15),ISNUMBER(Timeline!$O15),E$4&lt;=Timeline!$O15,EOMONTH(E$4,0)&gt;Timeline!$K15),"S",""))))</f>
        <v/>
      </c>
      <c r="F10" s="17" t="str">
        <f aca="false">IF(AND(ISNUMBER(Timeline!$E15),ISNUMBER(Timeline!$F15),F$4&lt;=Timeline!$F15,EOMONTH(F$4,0)&gt;=Timeline!$E15),"C",IF(AND(ISNUMBER(Timeline!$F15),ISNUMBER(Timeline!$K15),F$4&lt;=Timeline!$K15,EOMONTH(F$4,0)&gt;Timeline!$F15),"P",IF(AND(ISNUMBER(Timeline!$H15),ISNUMBER(Timeline!$K15),NOT(ISNUMBER(Timeline!$F15)),F$4&lt;=Timeline!$K15,EOMONTH(F$4,0)&gt;=Timeline!$H15),"P",IF(AND(ISNUMBER(Timeline!$K15),ISNUMBER(Timeline!$O15),F$4&lt;=Timeline!$O15,EOMONTH(F$4,0)&gt;Timeline!$K15),"S",""))))</f>
        <v>C</v>
      </c>
      <c r="G10" s="17" t="str">
        <f aca="false">IF(AND(ISNUMBER(Timeline!$E15),ISNUMBER(Timeline!$F15),G$4&lt;=Timeline!$F15,EOMONTH(G$4,0)&gt;=Timeline!$E15),"C",IF(AND(ISNUMBER(Timeline!$F15),ISNUMBER(Timeline!$K15),G$4&lt;=Timeline!$K15,EOMONTH(G$4,0)&gt;Timeline!$F15),"P",IF(AND(ISNUMBER(Timeline!$H15),ISNUMBER(Timeline!$K15),NOT(ISNUMBER(Timeline!$F15)),G$4&lt;=Timeline!$K15,EOMONTH(G$4,0)&gt;=Timeline!$H15),"P",IF(AND(ISNUMBER(Timeline!$K15),ISNUMBER(Timeline!$O15),G$4&lt;=Timeline!$O15,EOMONTH(G$4,0)&gt;Timeline!$K15),"S",""))))</f>
        <v>C</v>
      </c>
      <c r="H10" s="17" t="str">
        <f aca="false">IF(AND(ISNUMBER(Timeline!$E15),ISNUMBER(Timeline!$F15),H$4&lt;=Timeline!$F15,EOMONTH(H$4,0)&gt;=Timeline!$E15),"C",IF(AND(ISNUMBER(Timeline!$F15),ISNUMBER(Timeline!$K15),H$4&lt;=Timeline!$K15,EOMONTH(H$4,0)&gt;Timeline!$F15),"P",IF(AND(ISNUMBER(Timeline!$H15),ISNUMBER(Timeline!$K15),NOT(ISNUMBER(Timeline!$F15)),H$4&lt;=Timeline!$K15,EOMONTH(H$4,0)&gt;=Timeline!$H15),"P",IF(AND(ISNUMBER(Timeline!$K15),ISNUMBER(Timeline!$O15),H$4&lt;=Timeline!$O15,EOMONTH(H$4,0)&gt;Timeline!$K15),"S",""))))</f>
        <v>C</v>
      </c>
      <c r="I10" s="17" t="str">
        <f aca="false">IF(AND(ISNUMBER(Timeline!$E15),ISNUMBER(Timeline!$F15),I$4&lt;=Timeline!$F15,EOMONTH(I$4,0)&gt;=Timeline!$E15),"C",IF(AND(ISNUMBER(Timeline!$F15),ISNUMBER(Timeline!$K15),I$4&lt;=Timeline!$K15,EOMONTH(I$4,0)&gt;Timeline!$F15),"P",IF(AND(ISNUMBER(Timeline!$H15),ISNUMBER(Timeline!$K15),NOT(ISNUMBER(Timeline!$F15)),I$4&lt;=Timeline!$K15,EOMONTH(I$4,0)&gt;=Timeline!$H15),"P",IF(AND(ISNUMBER(Timeline!$K15),ISNUMBER(Timeline!$O15),I$4&lt;=Timeline!$O15,EOMONTH(I$4,0)&gt;Timeline!$K15),"S",""))))</f>
        <v>C</v>
      </c>
      <c r="J10" s="17" t="str">
        <f aca="false">IF(AND(ISNUMBER(Timeline!$E15),ISNUMBER(Timeline!$F15),J$4&lt;=Timeline!$F15,EOMONTH(J$4,0)&gt;=Timeline!$E15),"C",IF(AND(ISNUMBER(Timeline!$F15),ISNUMBER(Timeline!$K15),J$4&lt;=Timeline!$K15,EOMONTH(J$4,0)&gt;Timeline!$F15),"P",IF(AND(ISNUMBER(Timeline!$H15),ISNUMBER(Timeline!$K15),NOT(ISNUMBER(Timeline!$F15)),J$4&lt;=Timeline!$K15,EOMONTH(J$4,0)&gt;=Timeline!$H15),"P",IF(AND(ISNUMBER(Timeline!$K15),ISNUMBER(Timeline!$O15),J$4&lt;=Timeline!$O15,EOMONTH(J$4,0)&gt;Timeline!$K15),"S",""))))</f>
        <v>P</v>
      </c>
      <c r="K10" s="17" t="str">
        <f aca="false">IF(AND(ISNUMBER(Timeline!$E15),ISNUMBER(Timeline!$F15),K$4&lt;=Timeline!$F15,EOMONTH(K$4,0)&gt;=Timeline!$E15),"C",IF(AND(ISNUMBER(Timeline!$F15),ISNUMBER(Timeline!$K15),K$4&lt;=Timeline!$K15,EOMONTH(K$4,0)&gt;Timeline!$F15),"P",IF(AND(ISNUMBER(Timeline!$H15),ISNUMBER(Timeline!$K15),NOT(ISNUMBER(Timeline!$F15)),K$4&lt;=Timeline!$K15,EOMONTH(K$4,0)&gt;=Timeline!$H15),"P",IF(AND(ISNUMBER(Timeline!$K15),ISNUMBER(Timeline!$O15),K$4&lt;=Timeline!$O15,EOMONTH(K$4,0)&gt;Timeline!$K15),"S",""))))</f>
        <v>P</v>
      </c>
      <c r="L10" s="17" t="str">
        <f aca="false">IF(AND(ISNUMBER(Timeline!$E15),ISNUMBER(Timeline!$F15),L$4&lt;=Timeline!$F15,EOMONTH(L$4,0)&gt;=Timeline!$E15),"C",IF(AND(ISNUMBER(Timeline!$F15),ISNUMBER(Timeline!$K15),L$4&lt;=Timeline!$K15,EOMONTH(L$4,0)&gt;Timeline!$F15),"P",IF(AND(ISNUMBER(Timeline!$H15),ISNUMBER(Timeline!$K15),NOT(ISNUMBER(Timeline!$F15)),L$4&lt;=Timeline!$K15,EOMONTH(L$4,0)&gt;=Timeline!$H15),"P",IF(AND(ISNUMBER(Timeline!$K15),ISNUMBER(Timeline!$O15),L$4&lt;=Timeline!$O15,EOMONTH(L$4,0)&gt;Timeline!$K15),"S",""))))</f>
        <v>P</v>
      </c>
      <c r="M10" s="17" t="str">
        <f aca="false">IF(AND(ISNUMBER(Timeline!$E15),ISNUMBER(Timeline!$F15),M$4&lt;=Timeline!$F15,EOMONTH(M$4,0)&gt;=Timeline!$E15),"C",IF(AND(ISNUMBER(Timeline!$F15),ISNUMBER(Timeline!$K15),M$4&lt;=Timeline!$K15,EOMONTH(M$4,0)&gt;Timeline!$F15),"P",IF(AND(ISNUMBER(Timeline!$H15),ISNUMBER(Timeline!$K15),NOT(ISNUMBER(Timeline!$F15)),M$4&lt;=Timeline!$K15,EOMONTH(M$4,0)&gt;=Timeline!$H15),"P",IF(AND(ISNUMBER(Timeline!$K15),ISNUMBER(Timeline!$O15),M$4&lt;=Timeline!$O15,EOMONTH(M$4,0)&gt;Timeline!$K15),"S",""))))</f>
        <v>P</v>
      </c>
      <c r="N10" s="17" t="str">
        <f aca="false">IF(AND(ISNUMBER(Timeline!$E15),ISNUMBER(Timeline!$F15),N$4&lt;=Timeline!$F15,EOMONTH(N$4,0)&gt;=Timeline!$E15),"C",IF(AND(ISNUMBER(Timeline!$F15),ISNUMBER(Timeline!$K15),N$4&lt;=Timeline!$K15,EOMONTH(N$4,0)&gt;Timeline!$F15),"P",IF(AND(ISNUMBER(Timeline!$H15),ISNUMBER(Timeline!$K15),NOT(ISNUMBER(Timeline!$F15)),N$4&lt;=Timeline!$K15,EOMONTH(N$4,0)&gt;=Timeline!$H15),"P",IF(AND(ISNUMBER(Timeline!$K15),ISNUMBER(Timeline!$O15),N$4&lt;=Timeline!$O15,EOMONTH(N$4,0)&gt;Timeline!$K15),"S",""))))</f>
        <v>P</v>
      </c>
      <c r="O10" s="17" t="str">
        <f aca="false">IF(AND(ISNUMBER(Timeline!$E15),ISNUMBER(Timeline!$F15),O$4&lt;=Timeline!$F15,EOMONTH(O$4,0)&gt;=Timeline!$E15),"C",IF(AND(ISNUMBER(Timeline!$F15),ISNUMBER(Timeline!$K15),O$4&lt;=Timeline!$K15,EOMONTH(O$4,0)&gt;Timeline!$F15),"P",IF(AND(ISNUMBER(Timeline!$H15),ISNUMBER(Timeline!$K15),NOT(ISNUMBER(Timeline!$F15)),O$4&lt;=Timeline!$K15,EOMONTH(O$4,0)&gt;=Timeline!$H15),"P",IF(AND(ISNUMBER(Timeline!$K15),ISNUMBER(Timeline!$O15),O$4&lt;=Timeline!$O15,EOMONTH(O$4,0)&gt;Timeline!$K15),"S",""))))</f>
        <v>P</v>
      </c>
      <c r="P10" s="17" t="str">
        <f aca="false">IF(AND(ISNUMBER(Timeline!$E15),ISNUMBER(Timeline!$F15),P$4&lt;=Timeline!$F15,EOMONTH(P$4,0)&gt;=Timeline!$E15),"C",IF(AND(ISNUMBER(Timeline!$F15),ISNUMBER(Timeline!$K15),P$4&lt;=Timeline!$K15,EOMONTH(P$4,0)&gt;Timeline!$F15),"P",IF(AND(ISNUMBER(Timeline!$H15),ISNUMBER(Timeline!$K15),NOT(ISNUMBER(Timeline!$F15)),P$4&lt;=Timeline!$K15,EOMONTH(P$4,0)&gt;=Timeline!$H15),"P",IF(AND(ISNUMBER(Timeline!$K15),ISNUMBER(Timeline!$O15),P$4&lt;=Timeline!$O15,EOMONTH(P$4,0)&gt;Timeline!$K15),"S",""))))</f>
        <v>P</v>
      </c>
      <c r="Q10" s="17" t="str">
        <f aca="false">IF(AND(ISNUMBER(Timeline!$E15),ISNUMBER(Timeline!$F15),Q$4&lt;=Timeline!$F15,EOMONTH(Q$4,0)&gt;=Timeline!$E15),"C",IF(AND(ISNUMBER(Timeline!$F15),ISNUMBER(Timeline!$K15),Q$4&lt;=Timeline!$K15,EOMONTH(Q$4,0)&gt;Timeline!$F15),"P",IF(AND(ISNUMBER(Timeline!$H15),ISNUMBER(Timeline!$K15),NOT(ISNUMBER(Timeline!$F15)),Q$4&lt;=Timeline!$K15,EOMONTH(Q$4,0)&gt;=Timeline!$H15),"P",IF(AND(ISNUMBER(Timeline!$K15),ISNUMBER(Timeline!$O15),Q$4&lt;=Timeline!$O15,EOMONTH(Q$4,0)&gt;Timeline!$K15),"S",""))))</f>
        <v>P</v>
      </c>
      <c r="R10" s="17" t="str">
        <f aca="false">IF(AND(ISNUMBER(Timeline!$E15),ISNUMBER(Timeline!$F15),R$4&lt;=Timeline!$F15,EOMONTH(R$4,0)&gt;=Timeline!$E15),"C",IF(AND(ISNUMBER(Timeline!$F15),ISNUMBER(Timeline!$K15),R$4&lt;=Timeline!$K15,EOMONTH(R$4,0)&gt;Timeline!$F15),"P",IF(AND(ISNUMBER(Timeline!$H15),ISNUMBER(Timeline!$K15),NOT(ISNUMBER(Timeline!$F15)),R$4&lt;=Timeline!$K15,EOMONTH(R$4,0)&gt;=Timeline!$H15),"P",IF(AND(ISNUMBER(Timeline!$K15),ISNUMBER(Timeline!$O15),R$4&lt;=Timeline!$O15,EOMONTH(R$4,0)&gt;Timeline!$K15),"S",""))))</f>
        <v>P</v>
      </c>
      <c r="S10" s="17" t="str">
        <f aca="false">IF(AND(ISNUMBER(Timeline!$E15),ISNUMBER(Timeline!$F15),S$4&lt;=Timeline!$F15,EOMONTH(S$4,0)&gt;=Timeline!$E15),"C",IF(AND(ISNUMBER(Timeline!$F15),ISNUMBER(Timeline!$K15),S$4&lt;=Timeline!$K15,EOMONTH(S$4,0)&gt;Timeline!$F15),"P",IF(AND(ISNUMBER(Timeline!$H15),ISNUMBER(Timeline!$K15),NOT(ISNUMBER(Timeline!$F15)),S$4&lt;=Timeline!$K15,EOMONTH(S$4,0)&gt;=Timeline!$H15),"P",IF(AND(ISNUMBER(Timeline!$K15),ISNUMBER(Timeline!$O15),S$4&lt;=Timeline!$O15,EOMONTH(S$4,0)&gt;Timeline!$K15),"S",""))))</f>
        <v>S</v>
      </c>
      <c r="T10" s="17" t="str">
        <f aca="false">IF(AND(ISNUMBER(Timeline!$E15),ISNUMBER(Timeline!$F15),T$4&lt;=Timeline!$F15,EOMONTH(T$4,0)&gt;=Timeline!$E15),"C",IF(AND(ISNUMBER(Timeline!$F15),ISNUMBER(Timeline!$K15),T$4&lt;=Timeline!$K15,EOMONTH(T$4,0)&gt;Timeline!$F15),"P",IF(AND(ISNUMBER(Timeline!$H15),ISNUMBER(Timeline!$K15),NOT(ISNUMBER(Timeline!$F15)),T$4&lt;=Timeline!$K15,EOMONTH(T$4,0)&gt;=Timeline!$H15),"P",IF(AND(ISNUMBER(Timeline!$K15),ISNUMBER(Timeline!$O15),T$4&lt;=Timeline!$O15,EOMONTH(T$4,0)&gt;Timeline!$K15),"S",""))))</f>
        <v>S</v>
      </c>
      <c r="U10" s="17" t="str">
        <f aca="false">IF(AND(ISNUMBER(Timeline!$E15),ISNUMBER(Timeline!$F15),U$4&lt;=Timeline!$F15,EOMONTH(U$4,0)&gt;=Timeline!$E15),"C",IF(AND(ISNUMBER(Timeline!$F15),ISNUMBER(Timeline!$K15),U$4&lt;=Timeline!$K15,EOMONTH(U$4,0)&gt;Timeline!$F15),"P",IF(AND(ISNUMBER(Timeline!$H15),ISNUMBER(Timeline!$K15),NOT(ISNUMBER(Timeline!$F15)),U$4&lt;=Timeline!$K15,EOMONTH(U$4,0)&gt;=Timeline!$H15),"P",IF(AND(ISNUMBER(Timeline!$K15),ISNUMBER(Timeline!$O15),U$4&lt;=Timeline!$O15,EOMONTH(U$4,0)&gt;Timeline!$K15),"S",""))))</f>
        <v>S</v>
      </c>
      <c r="V10" s="17" t="str">
        <f aca="false">IF(AND(ISNUMBER(Timeline!$E15),ISNUMBER(Timeline!$F15),V$4&lt;=Timeline!$F15,EOMONTH(V$4,0)&gt;=Timeline!$E15),"C",IF(AND(ISNUMBER(Timeline!$F15),ISNUMBER(Timeline!$K15),V$4&lt;=Timeline!$K15,EOMONTH(V$4,0)&gt;Timeline!$F15),"P",IF(AND(ISNUMBER(Timeline!$H15),ISNUMBER(Timeline!$K15),NOT(ISNUMBER(Timeline!$F15)),V$4&lt;=Timeline!$K15,EOMONTH(V$4,0)&gt;=Timeline!$H15),"P",IF(AND(ISNUMBER(Timeline!$K15),ISNUMBER(Timeline!$O15),V$4&lt;=Timeline!$O15,EOMONTH(V$4,0)&gt;Timeline!$K15),"S",""))))</f>
        <v>S</v>
      </c>
      <c r="W10" s="17" t="str">
        <f aca="false">IF(AND(ISNUMBER(Timeline!$E15),ISNUMBER(Timeline!$F15),W$4&lt;=Timeline!$F15,EOMONTH(W$4,0)&gt;=Timeline!$E15),"C",IF(AND(ISNUMBER(Timeline!$F15),ISNUMBER(Timeline!$K15),W$4&lt;=Timeline!$K15,EOMONTH(W$4,0)&gt;Timeline!$F15),"P",IF(AND(ISNUMBER(Timeline!$H15),ISNUMBER(Timeline!$K15),NOT(ISNUMBER(Timeline!$F15)),W$4&lt;=Timeline!$K15,EOMONTH(W$4,0)&gt;=Timeline!$H15),"P",IF(AND(ISNUMBER(Timeline!$K15),ISNUMBER(Timeline!$O15),W$4&lt;=Timeline!$O15,EOMONTH(W$4,0)&gt;Timeline!$K15),"S",""))))</f>
        <v>S</v>
      </c>
      <c r="X10" s="17" t="str">
        <f aca="false">IF(AND(ISNUMBER(Timeline!$E15),ISNUMBER(Timeline!$F15),X$4&lt;=Timeline!$F15,EOMONTH(X$4,0)&gt;=Timeline!$E15),"C",IF(AND(ISNUMBER(Timeline!$F15),ISNUMBER(Timeline!$K15),X$4&lt;=Timeline!$K15,EOMONTH(X$4,0)&gt;Timeline!$F15),"P",IF(AND(ISNUMBER(Timeline!$H15),ISNUMBER(Timeline!$K15),NOT(ISNUMBER(Timeline!$F15)),X$4&lt;=Timeline!$K15,EOMONTH(X$4,0)&gt;=Timeline!$H15),"P",IF(AND(ISNUMBER(Timeline!$K15),ISNUMBER(Timeline!$O15),X$4&lt;=Timeline!$O15,EOMONTH(X$4,0)&gt;Timeline!$K15),"S",""))))</f>
        <v/>
      </c>
      <c r="Y10" s="17" t="str">
        <f aca="false">IF(AND(ISNUMBER(Timeline!$E15),ISNUMBER(Timeline!$F15),Y$4&lt;=Timeline!$F15,EOMONTH(Y$4,0)&gt;=Timeline!$E15),"C",IF(AND(ISNUMBER(Timeline!$F15),ISNUMBER(Timeline!$K15),Y$4&lt;=Timeline!$K15,EOMONTH(Y$4,0)&gt;Timeline!$F15),"P",IF(AND(ISNUMBER(Timeline!$H15),ISNUMBER(Timeline!$K15),NOT(ISNUMBER(Timeline!$F15)),Y$4&lt;=Timeline!$K15,EOMONTH(Y$4,0)&gt;=Timeline!$H15),"P",IF(AND(ISNUMBER(Timeline!$K15),ISNUMBER(Timeline!$O15),Y$4&lt;=Timeline!$O15,EOMONTH(Y$4,0)&gt;Timeline!$K15),"S",""))))</f>
        <v/>
      </c>
      <c r="Z10" s="17" t="str">
        <f aca="false">IF(AND(ISNUMBER(Timeline!$E15),ISNUMBER(Timeline!$F15),Z$4&lt;=Timeline!$F15,EOMONTH(Z$4,0)&gt;=Timeline!$E15),"C",IF(AND(ISNUMBER(Timeline!$F15),ISNUMBER(Timeline!$K15),Z$4&lt;=Timeline!$K15,EOMONTH(Z$4,0)&gt;Timeline!$F15),"P",IF(AND(ISNUMBER(Timeline!$H15),ISNUMBER(Timeline!$K15),NOT(ISNUMBER(Timeline!$F15)),Z$4&lt;=Timeline!$K15,EOMONTH(Z$4,0)&gt;=Timeline!$H15),"P",IF(AND(ISNUMBER(Timeline!$K15),ISNUMBER(Timeline!$O15),Z$4&lt;=Timeline!$O15,EOMONTH(Z$4,0)&gt;Timeline!$K15),"S",""))))</f>
        <v/>
      </c>
      <c r="AA10" s="17" t="str">
        <f aca="false">IF(AND(ISNUMBER(Timeline!$E15),ISNUMBER(Timeline!$F15),AA$4&lt;=Timeline!$F15,EOMONTH(AA$4,0)&gt;=Timeline!$E15),"C",IF(AND(ISNUMBER(Timeline!$F15),ISNUMBER(Timeline!$K15),AA$4&lt;=Timeline!$K15,EOMONTH(AA$4,0)&gt;Timeline!$F15),"P",IF(AND(ISNUMBER(Timeline!$H15),ISNUMBER(Timeline!$K15),NOT(ISNUMBER(Timeline!$F15)),AA$4&lt;=Timeline!$K15,EOMONTH(AA$4,0)&gt;=Timeline!$H15),"P",IF(AND(ISNUMBER(Timeline!$K15),ISNUMBER(Timeline!$O15),AA$4&lt;=Timeline!$O15,EOMONTH(AA$4,0)&gt;Timeline!$K15),"S",""))))</f>
        <v/>
      </c>
      <c r="AB10" s="17" t="str">
        <f aca="false">IF(AND(ISNUMBER(Timeline!$E15),ISNUMBER(Timeline!$F15),AB$4&lt;=Timeline!$F15,EOMONTH(AB$4,0)&gt;=Timeline!$E15),"C",IF(AND(ISNUMBER(Timeline!$F15),ISNUMBER(Timeline!$K15),AB$4&lt;=Timeline!$K15,EOMONTH(AB$4,0)&gt;Timeline!$F15),"P",IF(AND(ISNUMBER(Timeline!$H15),ISNUMBER(Timeline!$K15),NOT(ISNUMBER(Timeline!$F15)),AB$4&lt;=Timeline!$K15,EOMONTH(AB$4,0)&gt;=Timeline!$H15),"P",IF(AND(ISNUMBER(Timeline!$K15),ISNUMBER(Timeline!$O15),AB$4&lt;=Timeline!$O15,EOMONTH(AB$4,0)&gt;Timeline!$K15),"S",""))))</f>
        <v/>
      </c>
      <c r="AC10" s="17" t="str">
        <f aca="false">IF(AND(ISNUMBER(Timeline!$E15),ISNUMBER(Timeline!$F15),AC$4&lt;=Timeline!$F15,EOMONTH(AC$4,0)&gt;=Timeline!$E15),"C",IF(AND(ISNUMBER(Timeline!$F15),ISNUMBER(Timeline!$K15),AC$4&lt;=Timeline!$K15,EOMONTH(AC$4,0)&gt;Timeline!$F15),"P",IF(AND(ISNUMBER(Timeline!$H15),ISNUMBER(Timeline!$K15),NOT(ISNUMBER(Timeline!$F15)),AC$4&lt;=Timeline!$K15,EOMONTH(AC$4,0)&gt;=Timeline!$H15),"P",IF(AND(ISNUMBER(Timeline!$K15),ISNUMBER(Timeline!$O15),AC$4&lt;=Timeline!$O15,EOMONTH(AC$4,0)&gt;Timeline!$K15),"S",""))))</f>
        <v/>
      </c>
      <c r="AD10" s="17" t="str">
        <f aca="false">IF(AND(ISNUMBER(Timeline!$E15),ISNUMBER(Timeline!$F15),AD$4&lt;=Timeline!$F15,EOMONTH(AD$4,0)&gt;=Timeline!$E15),"C",IF(AND(ISNUMBER(Timeline!$F15),ISNUMBER(Timeline!$K15),AD$4&lt;=Timeline!$K15,EOMONTH(AD$4,0)&gt;Timeline!$F15),"P",IF(AND(ISNUMBER(Timeline!$H15),ISNUMBER(Timeline!$K15),NOT(ISNUMBER(Timeline!$F15)),AD$4&lt;=Timeline!$K15,EOMONTH(AD$4,0)&gt;=Timeline!$H15),"P",IF(AND(ISNUMBER(Timeline!$K15),ISNUMBER(Timeline!$O15),AD$4&lt;=Timeline!$O15,EOMONTH(AD$4,0)&gt;Timeline!$K15),"S",""))))</f>
        <v/>
      </c>
      <c r="AE10" s="17" t="str">
        <f aca="false">IF(AND(ISNUMBER(Timeline!$E15),ISNUMBER(Timeline!$F15),AE$4&lt;=Timeline!$F15,EOMONTH(AE$4,0)&gt;=Timeline!$E15),"C",IF(AND(ISNUMBER(Timeline!$F15),ISNUMBER(Timeline!$K15),AE$4&lt;=Timeline!$K15,EOMONTH(AE$4,0)&gt;Timeline!$F15),"P",IF(AND(ISNUMBER(Timeline!$H15),ISNUMBER(Timeline!$K15),NOT(ISNUMBER(Timeline!$F15)),AE$4&lt;=Timeline!$K15,EOMONTH(AE$4,0)&gt;=Timeline!$H15),"P",IF(AND(ISNUMBER(Timeline!$K15),ISNUMBER(Timeline!$O15),AE$4&lt;=Timeline!$O15,EOMONTH(AE$4,0)&gt;Timeline!$K15),"S",""))))</f>
        <v/>
      </c>
      <c r="AF10" s="17" t="str">
        <f aca="false">IF(AND(ISNUMBER(Timeline!$E15),ISNUMBER(Timeline!$F15),AF$4&lt;=Timeline!$F15,EOMONTH(AF$4,0)&gt;=Timeline!$E15),"C",IF(AND(ISNUMBER(Timeline!$F15),ISNUMBER(Timeline!$K15),AF$4&lt;=Timeline!$K15,EOMONTH(AF$4,0)&gt;Timeline!$F15),"P",IF(AND(ISNUMBER(Timeline!$H15),ISNUMBER(Timeline!$K15),NOT(ISNUMBER(Timeline!$F15)),AF$4&lt;=Timeline!$K15,EOMONTH(AF$4,0)&gt;=Timeline!$H15),"P",IF(AND(ISNUMBER(Timeline!$K15),ISNUMBER(Timeline!$O15),AF$4&lt;=Timeline!$O15,EOMONTH(AF$4,0)&gt;Timeline!$K15),"S",""))))</f>
        <v/>
      </c>
      <c r="AG10" s="17" t="str">
        <f aca="false">IF(AND(ISNUMBER(Timeline!$E15),ISNUMBER(Timeline!$F15),AG$4&lt;=Timeline!$F15,EOMONTH(AG$4,0)&gt;=Timeline!$E15),"C",IF(AND(ISNUMBER(Timeline!$F15),ISNUMBER(Timeline!$K15),AG$4&lt;=Timeline!$K15,EOMONTH(AG$4,0)&gt;Timeline!$F15),"P",IF(AND(ISNUMBER(Timeline!$H15),ISNUMBER(Timeline!$K15),NOT(ISNUMBER(Timeline!$F15)),AG$4&lt;=Timeline!$K15,EOMONTH(AG$4,0)&gt;=Timeline!$H15),"P",IF(AND(ISNUMBER(Timeline!$K15),ISNUMBER(Timeline!$O15),AG$4&lt;=Timeline!$O15,EOMONTH(AG$4,0)&gt;Timeline!$K15),"S",""))))</f>
        <v/>
      </c>
      <c r="AH10" s="17" t="str">
        <f aca="false">IF(AND(ISNUMBER(Timeline!$E15),ISNUMBER(Timeline!$F15),AH$4&lt;=Timeline!$F15,EOMONTH(AH$4,0)&gt;=Timeline!$E15),"C",IF(AND(ISNUMBER(Timeline!$F15),ISNUMBER(Timeline!$K15),AH$4&lt;=Timeline!$K15,EOMONTH(AH$4,0)&gt;Timeline!$F15),"P",IF(AND(ISNUMBER(Timeline!$H15),ISNUMBER(Timeline!$K15),NOT(ISNUMBER(Timeline!$F15)),AH$4&lt;=Timeline!$K15,EOMONTH(AH$4,0)&gt;=Timeline!$H15),"P",IF(AND(ISNUMBER(Timeline!$K15),ISNUMBER(Timeline!$O15),AH$4&lt;=Timeline!$O15,EOMONTH(AH$4,0)&gt;Timeline!$K15),"S",""))))</f>
        <v/>
      </c>
    </row>
    <row r="11" customFormat="false" ht="15" hidden="false" customHeight="false" outlineLevel="0" collapsed="false">
      <c r="A11" s="5" t="n">
        <v>7</v>
      </c>
      <c r="B11" s="16" t="s">
        <v>45</v>
      </c>
      <c r="C11" s="16" t="s">
        <v>26</v>
      </c>
      <c r="D11" s="17" t="str">
        <f aca="false">IF(AND(ISNUMBER(Timeline!$E16),ISNUMBER(Timeline!$F16),D$4&lt;=Timeline!$F16,EOMONTH(D$4,0)&gt;=Timeline!$E16),"C",IF(AND(ISNUMBER(Timeline!$F16),ISNUMBER(Timeline!$K16),D$4&lt;=Timeline!$K16,EOMONTH(D$4,0)&gt;Timeline!$F16),"P",IF(AND(ISNUMBER(Timeline!$H16),ISNUMBER(Timeline!$K16),NOT(ISNUMBER(Timeline!$F16)),D$4&lt;=Timeline!$K16,EOMONTH(D$4,0)&gt;=Timeline!$H16),"P",IF(AND(ISNUMBER(Timeline!$K16),ISNUMBER(Timeline!$O16),D$4&lt;=Timeline!$O16,EOMONTH(D$4,0)&gt;Timeline!$K16),"S",""))))</f>
        <v/>
      </c>
      <c r="E11" s="17" t="str">
        <f aca="false">IF(AND(ISNUMBER(Timeline!$E16),ISNUMBER(Timeline!$F16),E$4&lt;=Timeline!$F16,EOMONTH(E$4,0)&gt;=Timeline!$E16),"C",IF(AND(ISNUMBER(Timeline!$F16),ISNUMBER(Timeline!$K16),E$4&lt;=Timeline!$K16,EOMONTH(E$4,0)&gt;Timeline!$F16),"P",IF(AND(ISNUMBER(Timeline!$H16),ISNUMBER(Timeline!$K16),NOT(ISNUMBER(Timeline!$F16)),E$4&lt;=Timeline!$K16,EOMONTH(E$4,0)&gt;=Timeline!$H16),"P",IF(AND(ISNUMBER(Timeline!$K16),ISNUMBER(Timeline!$O16),E$4&lt;=Timeline!$O16,EOMONTH(E$4,0)&gt;Timeline!$K16),"S",""))))</f>
        <v/>
      </c>
      <c r="F11" s="17" t="str">
        <f aca="false">IF(AND(ISNUMBER(Timeline!$E16),ISNUMBER(Timeline!$F16),F$4&lt;=Timeline!$F16,EOMONTH(F$4,0)&gt;=Timeline!$E16),"C",IF(AND(ISNUMBER(Timeline!$F16),ISNUMBER(Timeline!$K16),F$4&lt;=Timeline!$K16,EOMONTH(F$4,0)&gt;Timeline!$F16),"P",IF(AND(ISNUMBER(Timeline!$H16),ISNUMBER(Timeline!$K16),NOT(ISNUMBER(Timeline!$F16)),F$4&lt;=Timeline!$K16,EOMONTH(F$4,0)&gt;=Timeline!$H16),"P",IF(AND(ISNUMBER(Timeline!$K16),ISNUMBER(Timeline!$O16),F$4&lt;=Timeline!$O16,EOMONTH(F$4,0)&gt;Timeline!$K16),"S",""))))</f>
        <v/>
      </c>
      <c r="G11" s="17" t="str">
        <f aca="false">IF(AND(ISNUMBER(Timeline!$E16),ISNUMBER(Timeline!$F16),G$4&lt;=Timeline!$F16,EOMONTH(G$4,0)&gt;=Timeline!$E16),"C",IF(AND(ISNUMBER(Timeline!$F16),ISNUMBER(Timeline!$K16),G$4&lt;=Timeline!$K16,EOMONTH(G$4,0)&gt;Timeline!$F16),"P",IF(AND(ISNUMBER(Timeline!$H16),ISNUMBER(Timeline!$K16),NOT(ISNUMBER(Timeline!$F16)),G$4&lt;=Timeline!$K16,EOMONTH(G$4,0)&gt;=Timeline!$H16),"P",IF(AND(ISNUMBER(Timeline!$K16),ISNUMBER(Timeline!$O16),G$4&lt;=Timeline!$O16,EOMONTH(G$4,0)&gt;Timeline!$K16),"S",""))))</f>
        <v/>
      </c>
      <c r="H11" s="17" t="str">
        <f aca="false">IF(AND(ISNUMBER(Timeline!$E16),ISNUMBER(Timeline!$F16),H$4&lt;=Timeline!$F16,EOMONTH(H$4,0)&gt;=Timeline!$E16),"C",IF(AND(ISNUMBER(Timeline!$F16),ISNUMBER(Timeline!$K16),H$4&lt;=Timeline!$K16,EOMONTH(H$4,0)&gt;Timeline!$F16),"P",IF(AND(ISNUMBER(Timeline!$H16),ISNUMBER(Timeline!$K16),NOT(ISNUMBER(Timeline!$F16)),H$4&lt;=Timeline!$K16,EOMONTH(H$4,0)&gt;=Timeline!$H16),"P",IF(AND(ISNUMBER(Timeline!$K16),ISNUMBER(Timeline!$O16),H$4&lt;=Timeline!$O16,EOMONTH(H$4,0)&gt;Timeline!$K16),"S",""))))</f>
        <v>C</v>
      </c>
      <c r="I11" s="17" t="str">
        <f aca="false">IF(AND(ISNUMBER(Timeline!$E16),ISNUMBER(Timeline!$F16),I$4&lt;=Timeline!$F16,EOMONTH(I$4,0)&gt;=Timeline!$E16),"C",IF(AND(ISNUMBER(Timeline!$F16),ISNUMBER(Timeline!$K16),I$4&lt;=Timeline!$K16,EOMONTH(I$4,0)&gt;Timeline!$F16),"P",IF(AND(ISNUMBER(Timeline!$H16),ISNUMBER(Timeline!$K16),NOT(ISNUMBER(Timeline!$F16)),I$4&lt;=Timeline!$K16,EOMONTH(I$4,0)&gt;=Timeline!$H16),"P",IF(AND(ISNUMBER(Timeline!$K16),ISNUMBER(Timeline!$O16),I$4&lt;=Timeline!$O16,EOMONTH(I$4,0)&gt;Timeline!$K16),"S",""))))</f>
        <v>C</v>
      </c>
      <c r="J11" s="17" t="str">
        <f aca="false">IF(AND(ISNUMBER(Timeline!$E16),ISNUMBER(Timeline!$F16),J$4&lt;=Timeline!$F16,EOMONTH(J$4,0)&gt;=Timeline!$E16),"C",IF(AND(ISNUMBER(Timeline!$F16),ISNUMBER(Timeline!$K16),J$4&lt;=Timeline!$K16,EOMONTH(J$4,0)&gt;Timeline!$F16),"P",IF(AND(ISNUMBER(Timeline!$H16),ISNUMBER(Timeline!$K16),NOT(ISNUMBER(Timeline!$F16)),J$4&lt;=Timeline!$K16,EOMONTH(J$4,0)&gt;=Timeline!$H16),"P",IF(AND(ISNUMBER(Timeline!$K16),ISNUMBER(Timeline!$O16),J$4&lt;=Timeline!$O16,EOMONTH(J$4,0)&gt;Timeline!$K16),"S",""))))</f>
        <v>C</v>
      </c>
      <c r="K11" s="17" t="str">
        <f aca="false">IF(AND(ISNUMBER(Timeline!$E16),ISNUMBER(Timeline!$F16),K$4&lt;=Timeline!$F16,EOMONTH(K$4,0)&gt;=Timeline!$E16),"C",IF(AND(ISNUMBER(Timeline!$F16),ISNUMBER(Timeline!$K16),K$4&lt;=Timeline!$K16,EOMONTH(K$4,0)&gt;Timeline!$F16),"P",IF(AND(ISNUMBER(Timeline!$H16),ISNUMBER(Timeline!$K16),NOT(ISNUMBER(Timeline!$F16)),K$4&lt;=Timeline!$K16,EOMONTH(K$4,0)&gt;=Timeline!$H16),"P",IF(AND(ISNUMBER(Timeline!$K16),ISNUMBER(Timeline!$O16),K$4&lt;=Timeline!$O16,EOMONTH(K$4,0)&gt;Timeline!$K16),"S",""))))</f>
        <v>P</v>
      </c>
      <c r="L11" s="17" t="str">
        <f aca="false">IF(AND(ISNUMBER(Timeline!$E16),ISNUMBER(Timeline!$F16),L$4&lt;=Timeline!$F16,EOMONTH(L$4,0)&gt;=Timeline!$E16),"C",IF(AND(ISNUMBER(Timeline!$F16),ISNUMBER(Timeline!$K16),L$4&lt;=Timeline!$K16,EOMONTH(L$4,0)&gt;Timeline!$F16),"P",IF(AND(ISNUMBER(Timeline!$H16),ISNUMBER(Timeline!$K16),NOT(ISNUMBER(Timeline!$F16)),L$4&lt;=Timeline!$K16,EOMONTH(L$4,0)&gt;=Timeline!$H16),"P",IF(AND(ISNUMBER(Timeline!$K16),ISNUMBER(Timeline!$O16),L$4&lt;=Timeline!$O16,EOMONTH(L$4,0)&gt;Timeline!$K16),"S",""))))</f>
        <v>P</v>
      </c>
      <c r="M11" s="17" t="str">
        <f aca="false">IF(AND(ISNUMBER(Timeline!$E16),ISNUMBER(Timeline!$F16),M$4&lt;=Timeline!$F16,EOMONTH(M$4,0)&gt;=Timeline!$E16),"C",IF(AND(ISNUMBER(Timeline!$F16),ISNUMBER(Timeline!$K16),M$4&lt;=Timeline!$K16,EOMONTH(M$4,0)&gt;Timeline!$F16),"P",IF(AND(ISNUMBER(Timeline!$H16),ISNUMBER(Timeline!$K16),NOT(ISNUMBER(Timeline!$F16)),M$4&lt;=Timeline!$K16,EOMONTH(M$4,0)&gt;=Timeline!$H16),"P",IF(AND(ISNUMBER(Timeline!$K16),ISNUMBER(Timeline!$O16),M$4&lt;=Timeline!$O16,EOMONTH(M$4,0)&gt;Timeline!$K16),"S",""))))</f>
        <v>P</v>
      </c>
      <c r="N11" s="17" t="str">
        <f aca="false">IF(AND(ISNUMBER(Timeline!$E16),ISNUMBER(Timeline!$F16),N$4&lt;=Timeline!$F16,EOMONTH(N$4,0)&gt;=Timeline!$E16),"C",IF(AND(ISNUMBER(Timeline!$F16),ISNUMBER(Timeline!$K16),N$4&lt;=Timeline!$K16,EOMONTH(N$4,0)&gt;Timeline!$F16),"P",IF(AND(ISNUMBER(Timeline!$H16),ISNUMBER(Timeline!$K16),NOT(ISNUMBER(Timeline!$F16)),N$4&lt;=Timeline!$K16,EOMONTH(N$4,0)&gt;=Timeline!$H16),"P",IF(AND(ISNUMBER(Timeline!$K16),ISNUMBER(Timeline!$O16),N$4&lt;=Timeline!$O16,EOMONTH(N$4,0)&gt;Timeline!$K16),"S",""))))</f>
        <v>P</v>
      </c>
      <c r="O11" s="17" t="str">
        <f aca="false">IF(AND(ISNUMBER(Timeline!$E16),ISNUMBER(Timeline!$F16),O$4&lt;=Timeline!$F16,EOMONTH(O$4,0)&gt;=Timeline!$E16),"C",IF(AND(ISNUMBER(Timeline!$F16),ISNUMBER(Timeline!$K16),O$4&lt;=Timeline!$K16,EOMONTH(O$4,0)&gt;Timeline!$F16),"P",IF(AND(ISNUMBER(Timeline!$H16),ISNUMBER(Timeline!$K16),NOT(ISNUMBER(Timeline!$F16)),O$4&lt;=Timeline!$K16,EOMONTH(O$4,0)&gt;=Timeline!$H16),"P",IF(AND(ISNUMBER(Timeline!$K16),ISNUMBER(Timeline!$O16),O$4&lt;=Timeline!$O16,EOMONTH(O$4,0)&gt;Timeline!$K16),"S",""))))</f>
        <v>P</v>
      </c>
      <c r="P11" s="17" t="str">
        <f aca="false">IF(AND(ISNUMBER(Timeline!$E16),ISNUMBER(Timeline!$F16),P$4&lt;=Timeline!$F16,EOMONTH(P$4,0)&gt;=Timeline!$E16),"C",IF(AND(ISNUMBER(Timeline!$F16),ISNUMBER(Timeline!$K16),P$4&lt;=Timeline!$K16,EOMONTH(P$4,0)&gt;Timeline!$F16),"P",IF(AND(ISNUMBER(Timeline!$H16),ISNUMBER(Timeline!$K16),NOT(ISNUMBER(Timeline!$F16)),P$4&lt;=Timeline!$K16,EOMONTH(P$4,0)&gt;=Timeline!$H16),"P",IF(AND(ISNUMBER(Timeline!$K16),ISNUMBER(Timeline!$O16),P$4&lt;=Timeline!$O16,EOMONTH(P$4,0)&gt;Timeline!$K16),"S",""))))</f>
        <v>P</v>
      </c>
      <c r="Q11" s="17" t="str">
        <f aca="false">IF(AND(ISNUMBER(Timeline!$E16),ISNUMBER(Timeline!$F16),Q$4&lt;=Timeline!$F16,EOMONTH(Q$4,0)&gt;=Timeline!$E16),"C",IF(AND(ISNUMBER(Timeline!$F16),ISNUMBER(Timeline!$K16),Q$4&lt;=Timeline!$K16,EOMONTH(Q$4,0)&gt;Timeline!$F16),"P",IF(AND(ISNUMBER(Timeline!$H16),ISNUMBER(Timeline!$K16),NOT(ISNUMBER(Timeline!$F16)),Q$4&lt;=Timeline!$K16,EOMONTH(Q$4,0)&gt;=Timeline!$H16),"P",IF(AND(ISNUMBER(Timeline!$K16),ISNUMBER(Timeline!$O16),Q$4&lt;=Timeline!$O16,EOMONTH(Q$4,0)&gt;Timeline!$K16),"S",""))))</f>
        <v>P</v>
      </c>
      <c r="R11" s="17" t="str">
        <f aca="false">IF(AND(ISNUMBER(Timeline!$E16),ISNUMBER(Timeline!$F16),R$4&lt;=Timeline!$F16,EOMONTH(R$4,0)&gt;=Timeline!$E16),"C",IF(AND(ISNUMBER(Timeline!$F16),ISNUMBER(Timeline!$K16),R$4&lt;=Timeline!$K16,EOMONTH(R$4,0)&gt;Timeline!$F16),"P",IF(AND(ISNUMBER(Timeline!$H16),ISNUMBER(Timeline!$K16),NOT(ISNUMBER(Timeline!$F16)),R$4&lt;=Timeline!$K16,EOMONTH(R$4,0)&gt;=Timeline!$H16),"P",IF(AND(ISNUMBER(Timeline!$K16),ISNUMBER(Timeline!$O16),R$4&lt;=Timeline!$O16,EOMONTH(R$4,0)&gt;Timeline!$K16),"S",""))))</f>
        <v>P</v>
      </c>
      <c r="S11" s="17" t="str">
        <f aca="false">IF(AND(ISNUMBER(Timeline!$E16),ISNUMBER(Timeline!$F16),S$4&lt;=Timeline!$F16,EOMONTH(S$4,0)&gt;=Timeline!$E16),"C",IF(AND(ISNUMBER(Timeline!$F16),ISNUMBER(Timeline!$K16),S$4&lt;=Timeline!$K16,EOMONTH(S$4,0)&gt;Timeline!$F16),"P",IF(AND(ISNUMBER(Timeline!$H16),ISNUMBER(Timeline!$K16),NOT(ISNUMBER(Timeline!$F16)),S$4&lt;=Timeline!$K16,EOMONTH(S$4,0)&gt;=Timeline!$H16),"P",IF(AND(ISNUMBER(Timeline!$K16),ISNUMBER(Timeline!$O16),S$4&lt;=Timeline!$O16,EOMONTH(S$4,0)&gt;Timeline!$K16),"S",""))))</f>
        <v>P</v>
      </c>
      <c r="T11" s="17" t="str">
        <f aca="false">IF(AND(ISNUMBER(Timeline!$E16),ISNUMBER(Timeline!$F16),T$4&lt;=Timeline!$F16,EOMONTH(T$4,0)&gt;=Timeline!$E16),"C",IF(AND(ISNUMBER(Timeline!$F16),ISNUMBER(Timeline!$K16),T$4&lt;=Timeline!$K16,EOMONTH(T$4,0)&gt;Timeline!$F16),"P",IF(AND(ISNUMBER(Timeline!$H16),ISNUMBER(Timeline!$K16),NOT(ISNUMBER(Timeline!$F16)),T$4&lt;=Timeline!$K16,EOMONTH(T$4,0)&gt;=Timeline!$H16),"P",IF(AND(ISNUMBER(Timeline!$K16),ISNUMBER(Timeline!$O16),T$4&lt;=Timeline!$O16,EOMONTH(T$4,0)&gt;Timeline!$K16),"S",""))))</f>
        <v>P</v>
      </c>
      <c r="U11" s="17" t="str">
        <f aca="false">IF(AND(ISNUMBER(Timeline!$E16),ISNUMBER(Timeline!$F16),U$4&lt;=Timeline!$F16,EOMONTH(U$4,0)&gt;=Timeline!$E16),"C",IF(AND(ISNUMBER(Timeline!$F16),ISNUMBER(Timeline!$K16),U$4&lt;=Timeline!$K16,EOMONTH(U$4,0)&gt;Timeline!$F16),"P",IF(AND(ISNUMBER(Timeline!$H16),ISNUMBER(Timeline!$K16),NOT(ISNUMBER(Timeline!$F16)),U$4&lt;=Timeline!$K16,EOMONTH(U$4,0)&gt;=Timeline!$H16),"P",IF(AND(ISNUMBER(Timeline!$K16),ISNUMBER(Timeline!$O16),U$4&lt;=Timeline!$O16,EOMONTH(U$4,0)&gt;Timeline!$K16),"S",""))))</f>
        <v>S</v>
      </c>
      <c r="V11" s="17" t="str">
        <f aca="false">IF(AND(ISNUMBER(Timeline!$E16),ISNUMBER(Timeline!$F16),V$4&lt;=Timeline!$F16,EOMONTH(V$4,0)&gt;=Timeline!$E16),"C",IF(AND(ISNUMBER(Timeline!$F16),ISNUMBER(Timeline!$K16),V$4&lt;=Timeline!$K16,EOMONTH(V$4,0)&gt;Timeline!$F16),"P",IF(AND(ISNUMBER(Timeline!$H16),ISNUMBER(Timeline!$K16),NOT(ISNUMBER(Timeline!$F16)),V$4&lt;=Timeline!$K16,EOMONTH(V$4,0)&gt;=Timeline!$H16),"P",IF(AND(ISNUMBER(Timeline!$K16),ISNUMBER(Timeline!$O16),V$4&lt;=Timeline!$O16,EOMONTH(V$4,0)&gt;Timeline!$K16),"S",""))))</f>
        <v>S</v>
      </c>
      <c r="W11" s="17" t="str">
        <f aca="false">IF(AND(ISNUMBER(Timeline!$E16),ISNUMBER(Timeline!$F16),W$4&lt;=Timeline!$F16,EOMONTH(W$4,0)&gt;=Timeline!$E16),"C",IF(AND(ISNUMBER(Timeline!$F16),ISNUMBER(Timeline!$K16),W$4&lt;=Timeline!$K16,EOMONTH(W$4,0)&gt;Timeline!$F16),"P",IF(AND(ISNUMBER(Timeline!$H16),ISNUMBER(Timeline!$K16),NOT(ISNUMBER(Timeline!$F16)),W$4&lt;=Timeline!$K16,EOMONTH(W$4,0)&gt;=Timeline!$H16),"P",IF(AND(ISNUMBER(Timeline!$K16),ISNUMBER(Timeline!$O16),W$4&lt;=Timeline!$O16,EOMONTH(W$4,0)&gt;Timeline!$K16),"S",""))))</f>
        <v>S</v>
      </c>
      <c r="X11" s="17" t="str">
        <f aca="false">IF(AND(ISNUMBER(Timeline!$E16),ISNUMBER(Timeline!$F16),X$4&lt;=Timeline!$F16,EOMONTH(X$4,0)&gt;=Timeline!$E16),"C",IF(AND(ISNUMBER(Timeline!$F16),ISNUMBER(Timeline!$K16),X$4&lt;=Timeline!$K16,EOMONTH(X$4,0)&gt;Timeline!$F16),"P",IF(AND(ISNUMBER(Timeline!$H16),ISNUMBER(Timeline!$K16),NOT(ISNUMBER(Timeline!$F16)),X$4&lt;=Timeline!$K16,EOMONTH(X$4,0)&gt;=Timeline!$H16),"P",IF(AND(ISNUMBER(Timeline!$K16),ISNUMBER(Timeline!$O16),X$4&lt;=Timeline!$O16,EOMONTH(X$4,0)&gt;Timeline!$K16),"S",""))))</f>
        <v>S</v>
      </c>
      <c r="Y11" s="17" t="str">
        <f aca="false">IF(AND(ISNUMBER(Timeline!$E16),ISNUMBER(Timeline!$F16),Y$4&lt;=Timeline!$F16,EOMONTH(Y$4,0)&gt;=Timeline!$E16),"C",IF(AND(ISNUMBER(Timeline!$F16),ISNUMBER(Timeline!$K16),Y$4&lt;=Timeline!$K16,EOMONTH(Y$4,0)&gt;Timeline!$F16),"P",IF(AND(ISNUMBER(Timeline!$H16),ISNUMBER(Timeline!$K16),NOT(ISNUMBER(Timeline!$F16)),Y$4&lt;=Timeline!$K16,EOMONTH(Y$4,0)&gt;=Timeline!$H16),"P",IF(AND(ISNUMBER(Timeline!$K16),ISNUMBER(Timeline!$O16),Y$4&lt;=Timeline!$O16,EOMONTH(Y$4,0)&gt;Timeline!$K16),"S",""))))</f>
        <v/>
      </c>
      <c r="Z11" s="17" t="str">
        <f aca="false">IF(AND(ISNUMBER(Timeline!$E16),ISNUMBER(Timeline!$F16),Z$4&lt;=Timeline!$F16,EOMONTH(Z$4,0)&gt;=Timeline!$E16),"C",IF(AND(ISNUMBER(Timeline!$F16),ISNUMBER(Timeline!$K16),Z$4&lt;=Timeline!$K16,EOMONTH(Z$4,0)&gt;Timeline!$F16),"P",IF(AND(ISNUMBER(Timeline!$H16),ISNUMBER(Timeline!$K16),NOT(ISNUMBER(Timeline!$F16)),Z$4&lt;=Timeline!$K16,EOMONTH(Z$4,0)&gt;=Timeline!$H16),"P",IF(AND(ISNUMBER(Timeline!$K16),ISNUMBER(Timeline!$O16),Z$4&lt;=Timeline!$O16,EOMONTH(Z$4,0)&gt;Timeline!$K16),"S",""))))</f>
        <v/>
      </c>
      <c r="AA11" s="17" t="str">
        <f aca="false">IF(AND(ISNUMBER(Timeline!$E16),ISNUMBER(Timeline!$F16),AA$4&lt;=Timeline!$F16,EOMONTH(AA$4,0)&gt;=Timeline!$E16),"C",IF(AND(ISNUMBER(Timeline!$F16),ISNUMBER(Timeline!$K16),AA$4&lt;=Timeline!$K16,EOMONTH(AA$4,0)&gt;Timeline!$F16),"P",IF(AND(ISNUMBER(Timeline!$H16),ISNUMBER(Timeline!$K16),NOT(ISNUMBER(Timeline!$F16)),AA$4&lt;=Timeline!$K16,EOMONTH(AA$4,0)&gt;=Timeline!$H16),"P",IF(AND(ISNUMBER(Timeline!$K16),ISNUMBER(Timeline!$O16),AA$4&lt;=Timeline!$O16,EOMONTH(AA$4,0)&gt;Timeline!$K16),"S",""))))</f>
        <v/>
      </c>
      <c r="AB11" s="17" t="str">
        <f aca="false">IF(AND(ISNUMBER(Timeline!$E16),ISNUMBER(Timeline!$F16),AB$4&lt;=Timeline!$F16,EOMONTH(AB$4,0)&gt;=Timeline!$E16),"C",IF(AND(ISNUMBER(Timeline!$F16),ISNUMBER(Timeline!$K16),AB$4&lt;=Timeline!$K16,EOMONTH(AB$4,0)&gt;Timeline!$F16),"P",IF(AND(ISNUMBER(Timeline!$H16),ISNUMBER(Timeline!$K16),NOT(ISNUMBER(Timeline!$F16)),AB$4&lt;=Timeline!$K16,EOMONTH(AB$4,0)&gt;=Timeline!$H16),"P",IF(AND(ISNUMBER(Timeline!$K16),ISNUMBER(Timeline!$O16),AB$4&lt;=Timeline!$O16,EOMONTH(AB$4,0)&gt;Timeline!$K16),"S",""))))</f>
        <v/>
      </c>
      <c r="AC11" s="17" t="str">
        <f aca="false">IF(AND(ISNUMBER(Timeline!$E16),ISNUMBER(Timeline!$F16),AC$4&lt;=Timeline!$F16,EOMONTH(AC$4,0)&gt;=Timeline!$E16),"C",IF(AND(ISNUMBER(Timeline!$F16),ISNUMBER(Timeline!$K16),AC$4&lt;=Timeline!$K16,EOMONTH(AC$4,0)&gt;Timeline!$F16),"P",IF(AND(ISNUMBER(Timeline!$H16),ISNUMBER(Timeline!$K16),NOT(ISNUMBER(Timeline!$F16)),AC$4&lt;=Timeline!$K16,EOMONTH(AC$4,0)&gt;=Timeline!$H16),"P",IF(AND(ISNUMBER(Timeline!$K16),ISNUMBER(Timeline!$O16),AC$4&lt;=Timeline!$O16,EOMONTH(AC$4,0)&gt;Timeline!$K16),"S",""))))</f>
        <v/>
      </c>
      <c r="AD11" s="17" t="str">
        <f aca="false">IF(AND(ISNUMBER(Timeline!$E16),ISNUMBER(Timeline!$F16),AD$4&lt;=Timeline!$F16,EOMONTH(AD$4,0)&gt;=Timeline!$E16),"C",IF(AND(ISNUMBER(Timeline!$F16),ISNUMBER(Timeline!$K16),AD$4&lt;=Timeline!$K16,EOMONTH(AD$4,0)&gt;Timeline!$F16),"P",IF(AND(ISNUMBER(Timeline!$H16),ISNUMBER(Timeline!$K16),NOT(ISNUMBER(Timeline!$F16)),AD$4&lt;=Timeline!$K16,EOMONTH(AD$4,0)&gt;=Timeline!$H16),"P",IF(AND(ISNUMBER(Timeline!$K16),ISNUMBER(Timeline!$O16),AD$4&lt;=Timeline!$O16,EOMONTH(AD$4,0)&gt;Timeline!$K16),"S",""))))</f>
        <v/>
      </c>
      <c r="AE11" s="17" t="str">
        <f aca="false">IF(AND(ISNUMBER(Timeline!$E16),ISNUMBER(Timeline!$F16),AE$4&lt;=Timeline!$F16,EOMONTH(AE$4,0)&gt;=Timeline!$E16),"C",IF(AND(ISNUMBER(Timeline!$F16),ISNUMBER(Timeline!$K16),AE$4&lt;=Timeline!$K16,EOMONTH(AE$4,0)&gt;Timeline!$F16),"P",IF(AND(ISNUMBER(Timeline!$H16),ISNUMBER(Timeline!$K16),NOT(ISNUMBER(Timeline!$F16)),AE$4&lt;=Timeline!$K16,EOMONTH(AE$4,0)&gt;=Timeline!$H16),"P",IF(AND(ISNUMBER(Timeline!$K16),ISNUMBER(Timeline!$O16),AE$4&lt;=Timeline!$O16,EOMONTH(AE$4,0)&gt;Timeline!$K16),"S",""))))</f>
        <v/>
      </c>
      <c r="AF11" s="17" t="str">
        <f aca="false">IF(AND(ISNUMBER(Timeline!$E16),ISNUMBER(Timeline!$F16),AF$4&lt;=Timeline!$F16,EOMONTH(AF$4,0)&gt;=Timeline!$E16),"C",IF(AND(ISNUMBER(Timeline!$F16),ISNUMBER(Timeline!$K16),AF$4&lt;=Timeline!$K16,EOMONTH(AF$4,0)&gt;Timeline!$F16),"P",IF(AND(ISNUMBER(Timeline!$H16),ISNUMBER(Timeline!$K16),NOT(ISNUMBER(Timeline!$F16)),AF$4&lt;=Timeline!$K16,EOMONTH(AF$4,0)&gt;=Timeline!$H16),"P",IF(AND(ISNUMBER(Timeline!$K16),ISNUMBER(Timeline!$O16),AF$4&lt;=Timeline!$O16,EOMONTH(AF$4,0)&gt;Timeline!$K16),"S",""))))</f>
        <v/>
      </c>
      <c r="AG11" s="17" t="str">
        <f aca="false">IF(AND(ISNUMBER(Timeline!$E16),ISNUMBER(Timeline!$F16),AG$4&lt;=Timeline!$F16,EOMONTH(AG$4,0)&gt;=Timeline!$E16),"C",IF(AND(ISNUMBER(Timeline!$F16),ISNUMBER(Timeline!$K16),AG$4&lt;=Timeline!$K16,EOMONTH(AG$4,0)&gt;Timeline!$F16),"P",IF(AND(ISNUMBER(Timeline!$H16),ISNUMBER(Timeline!$K16),NOT(ISNUMBER(Timeline!$F16)),AG$4&lt;=Timeline!$K16,EOMONTH(AG$4,0)&gt;=Timeline!$H16),"P",IF(AND(ISNUMBER(Timeline!$K16),ISNUMBER(Timeline!$O16),AG$4&lt;=Timeline!$O16,EOMONTH(AG$4,0)&gt;Timeline!$K16),"S",""))))</f>
        <v/>
      </c>
      <c r="AH11" s="17" t="str">
        <f aca="false">IF(AND(ISNUMBER(Timeline!$E16),ISNUMBER(Timeline!$F16),AH$4&lt;=Timeline!$F16,EOMONTH(AH$4,0)&gt;=Timeline!$E16),"C",IF(AND(ISNUMBER(Timeline!$F16),ISNUMBER(Timeline!$K16),AH$4&lt;=Timeline!$K16,EOMONTH(AH$4,0)&gt;Timeline!$F16),"P",IF(AND(ISNUMBER(Timeline!$H16),ISNUMBER(Timeline!$K16),NOT(ISNUMBER(Timeline!$F16)),AH$4&lt;=Timeline!$K16,EOMONTH(AH$4,0)&gt;=Timeline!$H16),"P",IF(AND(ISNUMBER(Timeline!$K16),ISNUMBER(Timeline!$O16),AH$4&lt;=Timeline!$O16,EOMONTH(AH$4,0)&gt;Timeline!$K16),"S",""))))</f>
        <v/>
      </c>
    </row>
    <row r="12" customFormat="false" ht="15" hidden="false" customHeight="false" outlineLevel="0" collapsed="false">
      <c r="A12" s="5" t="n">
        <v>8</v>
      </c>
      <c r="B12" s="16" t="s">
        <v>48</v>
      </c>
      <c r="C12" s="16" t="s">
        <v>33</v>
      </c>
      <c r="D12" s="17" t="str">
        <f aca="false">IF(AND(ISNUMBER(Timeline!$E17),ISNUMBER(Timeline!$F17),D$4&lt;=Timeline!$F17,EOMONTH(D$4,0)&gt;=Timeline!$E17),"C",IF(AND(ISNUMBER(Timeline!$F17),ISNUMBER(Timeline!$K17),D$4&lt;=Timeline!$K17,EOMONTH(D$4,0)&gt;Timeline!$F17),"P",IF(AND(ISNUMBER(Timeline!$H17),ISNUMBER(Timeline!$K17),NOT(ISNUMBER(Timeline!$F17)),D$4&lt;=Timeline!$K17,EOMONTH(D$4,0)&gt;=Timeline!$H17),"P",IF(AND(ISNUMBER(Timeline!$K17),ISNUMBER(Timeline!$O17),D$4&lt;=Timeline!$O17,EOMONTH(D$4,0)&gt;Timeline!$K17),"S",""))))</f>
        <v/>
      </c>
      <c r="E12" s="17" t="str">
        <f aca="false">IF(AND(ISNUMBER(Timeline!$E17),ISNUMBER(Timeline!$F17),E$4&lt;=Timeline!$F17,EOMONTH(E$4,0)&gt;=Timeline!$E17),"C",IF(AND(ISNUMBER(Timeline!$F17),ISNUMBER(Timeline!$K17),E$4&lt;=Timeline!$K17,EOMONTH(E$4,0)&gt;Timeline!$F17),"P",IF(AND(ISNUMBER(Timeline!$H17),ISNUMBER(Timeline!$K17),NOT(ISNUMBER(Timeline!$F17)),E$4&lt;=Timeline!$K17,EOMONTH(E$4,0)&gt;=Timeline!$H17),"P",IF(AND(ISNUMBER(Timeline!$K17),ISNUMBER(Timeline!$O17),E$4&lt;=Timeline!$O17,EOMONTH(E$4,0)&gt;Timeline!$K17),"S",""))))</f>
        <v/>
      </c>
      <c r="F12" s="17" t="str">
        <f aca="false">IF(AND(ISNUMBER(Timeline!$E17),ISNUMBER(Timeline!$F17),F$4&lt;=Timeline!$F17,EOMONTH(F$4,0)&gt;=Timeline!$E17),"C",IF(AND(ISNUMBER(Timeline!$F17),ISNUMBER(Timeline!$K17),F$4&lt;=Timeline!$K17,EOMONTH(F$4,0)&gt;Timeline!$F17),"P",IF(AND(ISNUMBER(Timeline!$H17),ISNUMBER(Timeline!$K17),NOT(ISNUMBER(Timeline!$F17)),F$4&lt;=Timeline!$K17,EOMONTH(F$4,0)&gt;=Timeline!$H17),"P",IF(AND(ISNUMBER(Timeline!$K17),ISNUMBER(Timeline!$O17),F$4&lt;=Timeline!$O17,EOMONTH(F$4,0)&gt;Timeline!$K17),"S",""))))</f>
        <v/>
      </c>
      <c r="G12" s="17" t="str">
        <f aca="false">IF(AND(ISNUMBER(Timeline!$E17),ISNUMBER(Timeline!$F17),G$4&lt;=Timeline!$F17,EOMONTH(G$4,0)&gt;=Timeline!$E17),"C",IF(AND(ISNUMBER(Timeline!$F17),ISNUMBER(Timeline!$K17),G$4&lt;=Timeline!$K17,EOMONTH(G$4,0)&gt;Timeline!$F17),"P",IF(AND(ISNUMBER(Timeline!$H17),ISNUMBER(Timeline!$K17),NOT(ISNUMBER(Timeline!$F17)),G$4&lt;=Timeline!$K17,EOMONTH(G$4,0)&gt;=Timeline!$H17),"P",IF(AND(ISNUMBER(Timeline!$K17),ISNUMBER(Timeline!$O17),G$4&lt;=Timeline!$O17,EOMONTH(G$4,0)&gt;Timeline!$K17),"S",""))))</f>
        <v/>
      </c>
      <c r="H12" s="17" t="str">
        <f aca="false">IF(AND(ISNUMBER(Timeline!$E17),ISNUMBER(Timeline!$F17),H$4&lt;=Timeline!$F17,EOMONTH(H$4,0)&gt;=Timeline!$E17),"C",IF(AND(ISNUMBER(Timeline!$F17),ISNUMBER(Timeline!$K17),H$4&lt;=Timeline!$K17,EOMONTH(H$4,0)&gt;Timeline!$F17),"P",IF(AND(ISNUMBER(Timeline!$H17),ISNUMBER(Timeline!$K17),NOT(ISNUMBER(Timeline!$F17)),H$4&lt;=Timeline!$K17,EOMONTH(H$4,0)&gt;=Timeline!$H17),"P",IF(AND(ISNUMBER(Timeline!$K17),ISNUMBER(Timeline!$O17),H$4&lt;=Timeline!$O17,EOMONTH(H$4,0)&gt;Timeline!$K17),"S",""))))</f>
        <v/>
      </c>
      <c r="I12" s="17" t="str">
        <f aca="false">IF(AND(ISNUMBER(Timeline!$E17),ISNUMBER(Timeline!$F17),I$4&lt;=Timeline!$F17,EOMONTH(I$4,0)&gt;=Timeline!$E17),"C",IF(AND(ISNUMBER(Timeline!$F17),ISNUMBER(Timeline!$K17),I$4&lt;=Timeline!$K17,EOMONTH(I$4,0)&gt;Timeline!$F17),"P",IF(AND(ISNUMBER(Timeline!$H17),ISNUMBER(Timeline!$K17),NOT(ISNUMBER(Timeline!$F17)),I$4&lt;=Timeline!$K17,EOMONTH(I$4,0)&gt;=Timeline!$H17),"P",IF(AND(ISNUMBER(Timeline!$K17),ISNUMBER(Timeline!$O17),I$4&lt;=Timeline!$O17,EOMONTH(I$4,0)&gt;Timeline!$K17),"S",""))))</f>
        <v/>
      </c>
      <c r="J12" s="17" t="str">
        <f aca="false">IF(AND(ISNUMBER(Timeline!$E17),ISNUMBER(Timeline!$F17),J$4&lt;=Timeline!$F17,EOMONTH(J$4,0)&gt;=Timeline!$E17),"C",IF(AND(ISNUMBER(Timeline!$F17),ISNUMBER(Timeline!$K17),J$4&lt;=Timeline!$K17,EOMONTH(J$4,0)&gt;Timeline!$F17),"P",IF(AND(ISNUMBER(Timeline!$H17),ISNUMBER(Timeline!$K17),NOT(ISNUMBER(Timeline!$F17)),J$4&lt;=Timeline!$K17,EOMONTH(J$4,0)&gt;=Timeline!$H17),"P",IF(AND(ISNUMBER(Timeline!$K17),ISNUMBER(Timeline!$O17),J$4&lt;=Timeline!$O17,EOMONTH(J$4,0)&gt;Timeline!$K17),"S",""))))</f>
        <v>P</v>
      </c>
      <c r="K12" s="17" t="str">
        <f aca="false">IF(AND(ISNUMBER(Timeline!$E17),ISNUMBER(Timeline!$F17),K$4&lt;=Timeline!$F17,EOMONTH(K$4,0)&gt;=Timeline!$E17),"C",IF(AND(ISNUMBER(Timeline!$F17),ISNUMBER(Timeline!$K17),K$4&lt;=Timeline!$K17,EOMONTH(K$4,0)&gt;Timeline!$F17),"P",IF(AND(ISNUMBER(Timeline!$H17),ISNUMBER(Timeline!$K17),NOT(ISNUMBER(Timeline!$F17)),K$4&lt;=Timeline!$K17,EOMONTH(K$4,0)&gt;=Timeline!$H17),"P",IF(AND(ISNUMBER(Timeline!$K17),ISNUMBER(Timeline!$O17),K$4&lt;=Timeline!$O17,EOMONTH(K$4,0)&gt;Timeline!$K17),"S",""))))</f>
        <v>P</v>
      </c>
      <c r="L12" s="17" t="str">
        <f aca="false">IF(AND(ISNUMBER(Timeline!$E17),ISNUMBER(Timeline!$F17),L$4&lt;=Timeline!$F17,EOMONTH(L$4,0)&gt;=Timeline!$E17),"C",IF(AND(ISNUMBER(Timeline!$F17),ISNUMBER(Timeline!$K17),L$4&lt;=Timeline!$K17,EOMONTH(L$4,0)&gt;Timeline!$F17),"P",IF(AND(ISNUMBER(Timeline!$H17),ISNUMBER(Timeline!$K17),NOT(ISNUMBER(Timeline!$F17)),L$4&lt;=Timeline!$K17,EOMONTH(L$4,0)&gt;=Timeline!$H17),"P",IF(AND(ISNUMBER(Timeline!$K17),ISNUMBER(Timeline!$O17),L$4&lt;=Timeline!$O17,EOMONTH(L$4,0)&gt;Timeline!$K17),"S",""))))</f>
        <v>P</v>
      </c>
      <c r="M12" s="17" t="str">
        <f aca="false">IF(AND(ISNUMBER(Timeline!$E17),ISNUMBER(Timeline!$F17),M$4&lt;=Timeline!$F17,EOMONTH(M$4,0)&gt;=Timeline!$E17),"C",IF(AND(ISNUMBER(Timeline!$F17),ISNUMBER(Timeline!$K17),M$4&lt;=Timeline!$K17,EOMONTH(M$4,0)&gt;Timeline!$F17),"P",IF(AND(ISNUMBER(Timeline!$H17),ISNUMBER(Timeline!$K17),NOT(ISNUMBER(Timeline!$F17)),M$4&lt;=Timeline!$K17,EOMONTH(M$4,0)&gt;=Timeline!$H17),"P",IF(AND(ISNUMBER(Timeline!$K17),ISNUMBER(Timeline!$O17),M$4&lt;=Timeline!$O17,EOMONTH(M$4,0)&gt;Timeline!$K17),"S",""))))</f>
        <v>P</v>
      </c>
      <c r="N12" s="17" t="str">
        <f aca="false">IF(AND(ISNUMBER(Timeline!$E17),ISNUMBER(Timeline!$F17),N$4&lt;=Timeline!$F17,EOMONTH(N$4,0)&gt;=Timeline!$E17),"C",IF(AND(ISNUMBER(Timeline!$F17),ISNUMBER(Timeline!$K17),N$4&lt;=Timeline!$K17,EOMONTH(N$4,0)&gt;Timeline!$F17),"P",IF(AND(ISNUMBER(Timeline!$H17),ISNUMBER(Timeline!$K17),NOT(ISNUMBER(Timeline!$F17)),N$4&lt;=Timeline!$K17,EOMONTH(N$4,0)&gt;=Timeline!$H17),"P",IF(AND(ISNUMBER(Timeline!$K17),ISNUMBER(Timeline!$O17),N$4&lt;=Timeline!$O17,EOMONTH(N$4,0)&gt;Timeline!$K17),"S",""))))</f>
        <v>P</v>
      </c>
      <c r="O12" s="17" t="str">
        <f aca="false">IF(AND(ISNUMBER(Timeline!$E17),ISNUMBER(Timeline!$F17),O$4&lt;=Timeline!$F17,EOMONTH(O$4,0)&gt;=Timeline!$E17),"C",IF(AND(ISNUMBER(Timeline!$F17),ISNUMBER(Timeline!$K17),O$4&lt;=Timeline!$K17,EOMONTH(O$4,0)&gt;Timeline!$F17),"P",IF(AND(ISNUMBER(Timeline!$H17),ISNUMBER(Timeline!$K17),NOT(ISNUMBER(Timeline!$F17)),O$4&lt;=Timeline!$K17,EOMONTH(O$4,0)&gt;=Timeline!$H17),"P",IF(AND(ISNUMBER(Timeline!$K17),ISNUMBER(Timeline!$O17),O$4&lt;=Timeline!$O17,EOMONTH(O$4,0)&gt;Timeline!$K17),"S",""))))</f>
        <v>P</v>
      </c>
      <c r="P12" s="17" t="str">
        <f aca="false">IF(AND(ISNUMBER(Timeline!$E17),ISNUMBER(Timeline!$F17),P$4&lt;=Timeline!$F17,EOMONTH(P$4,0)&gt;=Timeline!$E17),"C",IF(AND(ISNUMBER(Timeline!$F17),ISNUMBER(Timeline!$K17),P$4&lt;=Timeline!$K17,EOMONTH(P$4,0)&gt;Timeline!$F17),"P",IF(AND(ISNUMBER(Timeline!$H17),ISNUMBER(Timeline!$K17),NOT(ISNUMBER(Timeline!$F17)),P$4&lt;=Timeline!$K17,EOMONTH(P$4,0)&gt;=Timeline!$H17),"P",IF(AND(ISNUMBER(Timeline!$K17),ISNUMBER(Timeline!$O17),P$4&lt;=Timeline!$O17,EOMONTH(P$4,0)&gt;Timeline!$K17),"S",""))))</f>
        <v>P</v>
      </c>
      <c r="Q12" s="17" t="str">
        <f aca="false">IF(AND(ISNUMBER(Timeline!$E17),ISNUMBER(Timeline!$F17),Q$4&lt;=Timeline!$F17,EOMONTH(Q$4,0)&gt;=Timeline!$E17),"C",IF(AND(ISNUMBER(Timeline!$F17),ISNUMBER(Timeline!$K17),Q$4&lt;=Timeline!$K17,EOMONTH(Q$4,0)&gt;Timeline!$F17),"P",IF(AND(ISNUMBER(Timeline!$H17),ISNUMBER(Timeline!$K17),NOT(ISNUMBER(Timeline!$F17)),Q$4&lt;=Timeline!$K17,EOMONTH(Q$4,0)&gt;=Timeline!$H17),"P",IF(AND(ISNUMBER(Timeline!$K17),ISNUMBER(Timeline!$O17),Q$4&lt;=Timeline!$O17,EOMONTH(Q$4,0)&gt;Timeline!$K17),"S",""))))</f>
        <v>S</v>
      </c>
      <c r="R12" s="17" t="str">
        <f aca="false">IF(AND(ISNUMBER(Timeline!$E17),ISNUMBER(Timeline!$F17),R$4&lt;=Timeline!$F17,EOMONTH(R$4,0)&gt;=Timeline!$E17),"C",IF(AND(ISNUMBER(Timeline!$F17),ISNUMBER(Timeline!$K17),R$4&lt;=Timeline!$K17,EOMONTH(R$4,0)&gt;Timeline!$F17),"P",IF(AND(ISNUMBER(Timeline!$H17),ISNUMBER(Timeline!$K17),NOT(ISNUMBER(Timeline!$F17)),R$4&lt;=Timeline!$K17,EOMONTH(R$4,0)&gt;=Timeline!$H17),"P",IF(AND(ISNUMBER(Timeline!$K17),ISNUMBER(Timeline!$O17),R$4&lt;=Timeline!$O17,EOMONTH(R$4,0)&gt;Timeline!$K17),"S",""))))</f>
        <v>S</v>
      </c>
      <c r="S12" s="17" t="str">
        <f aca="false">IF(AND(ISNUMBER(Timeline!$E17),ISNUMBER(Timeline!$F17),S$4&lt;=Timeline!$F17,EOMONTH(S$4,0)&gt;=Timeline!$E17),"C",IF(AND(ISNUMBER(Timeline!$F17),ISNUMBER(Timeline!$K17),S$4&lt;=Timeline!$K17,EOMONTH(S$4,0)&gt;Timeline!$F17),"P",IF(AND(ISNUMBER(Timeline!$H17),ISNUMBER(Timeline!$K17),NOT(ISNUMBER(Timeline!$F17)),S$4&lt;=Timeline!$K17,EOMONTH(S$4,0)&gt;=Timeline!$H17),"P",IF(AND(ISNUMBER(Timeline!$K17),ISNUMBER(Timeline!$O17),S$4&lt;=Timeline!$O17,EOMONTH(S$4,0)&gt;Timeline!$K17),"S",""))))</f>
        <v>S</v>
      </c>
      <c r="T12" s="17" t="str">
        <f aca="false">IF(AND(ISNUMBER(Timeline!$E17),ISNUMBER(Timeline!$F17),T$4&lt;=Timeline!$F17,EOMONTH(T$4,0)&gt;=Timeline!$E17),"C",IF(AND(ISNUMBER(Timeline!$F17),ISNUMBER(Timeline!$K17),T$4&lt;=Timeline!$K17,EOMONTH(T$4,0)&gt;Timeline!$F17),"P",IF(AND(ISNUMBER(Timeline!$H17),ISNUMBER(Timeline!$K17),NOT(ISNUMBER(Timeline!$F17)),T$4&lt;=Timeline!$K17,EOMONTH(T$4,0)&gt;=Timeline!$H17),"P",IF(AND(ISNUMBER(Timeline!$K17),ISNUMBER(Timeline!$O17),T$4&lt;=Timeline!$O17,EOMONTH(T$4,0)&gt;Timeline!$K17),"S",""))))</f>
        <v>S</v>
      </c>
      <c r="U12" s="17" t="str">
        <f aca="false">IF(AND(ISNUMBER(Timeline!$E17),ISNUMBER(Timeline!$F17),U$4&lt;=Timeline!$F17,EOMONTH(U$4,0)&gt;=Timeline!$E17),"C",IF(AND(ISNUMBER(Timeline!$F17),ISNUMBER(Timeline!$K17),U$4&lt;=Timeline!$K17,EOMONTH(U$4,0)&gt;Timeline!$F17),"P",IF(AND(ISNUMBER(Timeline!$H17),ISNUMBER(Timeline!$K17),NOT(ISNUMBER(Timeline!$F17)),U$4&lt;=Timeline!$K17,EOMONTH(U$4,0)&gt;=Timeline!$H17),"P",IF(AND(ISNUMBER(Timeline!$K17),ISNUMBER(Timeline!$O17),U$4&lt;=Timeline!$O17,EOMONTH(U$4,0)&gt;Timeline!$K17),"S",""))))</f>
        <v/>
      </c>
      <c r="V12" s="17" t="str">
        <f aca="false">IF(AND(ISNUMBER(Timeline!$E17),ISNUMBER(Timeline!$F17),V$4&lt;=Timeline!$F17,EOMONTH(V$4,0)&gt;=Timeline!$E17),"C",IF(AND(ISNUMBER(Timeline!$F17),ISNUMBER(Timeline!$K17),V$4&lt;=Timeline!$K17,EOMONTH(V$4,0)&gt;Timeline!$F17),"P",IF(AND(ISNUMBER(Timeline!$H17),ISNUMBER(Timeline!$K17),NOT(ISNUMBER(Timeline!$F17)),V$4&lt;=Timeline!$K17,EOMONTH(V$4,0)&gt;=Timeline!$H17),"P",IF(AND(ISNUMBER(Timeline!$K17),ISNUMBER(Timeline!$O17),V$4&lt;=Timeline!$O17,EOMONTH(V$4,0)&gt;Timeline!$K17),"S",""))))</f>
        <v/>
      </c>
      <c r="W12" s="17" t="str">
        <f aca="false">IF(AND(ISNUMBER(Timeline!$E17),ISNUMBER(Timeline!$F17),W$4&lt;=Timeline!$F17,EOMONTH(W$4,0)&gt;=Timeline!$E17),"C",IF(AND(ISNUMBER(Timeline!$F17),ISNUMBER(Timeline!$K17),W$4&lt;=Timeline!$K17,EOMONTH(W$4,0)&gt;Timeline!$F17),"P",IF(AND(ISNUMBER(Timeline!$H17),ISNUMBER(Timeline!$K17),NOT(ISNUMBER(Timeline!$F17)),W$4&lt;=Timeline!$K17,EOMONTH(W$4,0)&gt;=Timeline!$H17),"P",IF(AND(ISNUMBER(Timeline!$K17),ISNUMBER(Timeline!$O17),W$4&lt;=Timeline!$O17,EOMONTH(W$4,0)&gt;Timeline!$K17),"S",""))))</f>
        <v/>
      </c>
      <c r="X12" s="17" t="str">
        <f aca="false">IF(AND(ISNUMBER(Timeline!$E17),ISNUMBER(Timeline!$F17),X$4&lt;=Timeline!$F17,EOMONTH(X$4,0)&gt;=Timeline!$E17),"C",IF(AND(ISNUMBER(Timeline!$F17),ISNUMBER(Timeline!$K17),X$4&lt;=Timeline!$K17,EOMONTH(X$4,0)&gt;Timeline!$F17),"P",IF(AND(ISNUMBER(Timeline!$H17),ISNUMBER(Timeline!$K17),NOT(ISNUMBER(Timeline!$F17)),X$4&lt;=Timeline!$K17,EOMONTH(X$4,0)&gt;=Timeline!$H17),"P",IF(AND(ISNUMBER(Timeline!$K17),ISNUMBER(Timeline!$O17),X$4&lt;=Timeline!$O17,EOMONTH(X$4,0)&gt;Timeline!$K17),"S",""))))</f>
        <v/>
      </c>
      <c r="Y12" s="17" t="str">
        <f aca="false">IF(AND(ISNUMBER(Timeline!$E17),ISNUMBER(Timeline!$F17),Y$4&lt;=Timeline!$F17,EOMONTH(Y$4,0)&gt;=Timeline!$E17),"C",IF(AND(ISNUMBER(Timeline!$F17),ISNUMBER(Timeline!$K17),Y$4&lt;=Timeline!$K17,EOMONTH(Y$4,0)&gt;Timeline!$F17),"P",IF(AND(ISNUMBER(Timeline!$H17),ISNUMBER(Timeline!$K17),NOT(ISNUMBER(Timeline!$F17)),Y$4&lt;=Timeline!$K17,EOMONTH(Y$4,0)&gt;=Timeline!$H17),"P",IF(AND(ISNUMBER(Timeline!$K17),ISNUMBER(Timeline!$O17),Y$4&lt;=Timeline!$O17,EOMONTH(Y$4,0)&gt;Timeline!$K17),"S",""))))</f>
        <v/>
      </c>
      <c r="Z12" s="17" t="str">
        <f aca="false">IF(AND(ISNUMBER(Timeline!$E17),ISNUMBER(Timeline!$F17),Z$4&lt;=Timeline!$F17,EOMONTH(Z$4,0)&gt;=Timeline!$E17),"C",IF(AND(ISNUMBER(Timeline!$F17),ISNUMBER(Timeline!$K17),Z$4&lt;=Timeline!$K17,EOMONTH(Z$4,0)&gt;Timeline!$F17),"P",IF(AND(ISNUMBER(Timeline!$H17),ISNUMBER(Timeline!$K17),NOT(ISNUMBER(Timeline!$F17)),Z$4&lt;=Timeline!$K17,EOMONTH(Z$4,0)&gt;=Timeline!$H17),"P",IF(AND(ISNUMBER(Timeline!$K17),ISNUMBER(Timeline!$O17),Z$4&lt;=Timeline!$O17,EOMONTH(Z$4,0)&gt;Timeline!$K17),"S",""))))</f>
        <v/>
      </c>
      <c r="AA12" s="17" t="str">
        <f aca="false">IF(AND(ISNUMBER(Timeline!$E17),ISNUMBER(Timeline!$F17),AA$4&lt;=Timeline!$F17,EOMONTH(AA$4,0)&gt;=Timeline!$E17),"C",IF(AND(ISNUMBER(Timeline!$F17),ISNUMBER(Timeline!$K17),AA$4&lt;=Timeline!$K17,EOMONTH(AA$4,0)&gt;Timeline!$F17),"P",IF(AND(ISNUMBER(Timeline!$H17),ISNUMBER(Timeline!$K17),NOT(ISNUMBER(Timeline!$F17)),AA$4&lt;=Timeline!$K17,EOMONTH(AA$4,0)&gt;=Timeline!$H17),"P",IF(AND(ISNUMBER(Timeline!$K17),ISNUMBER(Timeline!$O17),AA$4&lt;=Timeline!$O17,EOMONTH(AA$4,0)&gt;Timeline!$K17),"S",""))))</f>
        <v/>
      </c>
      <c r="AB12" s="17" t="str">
        <f aca="false">IF(AND(ISNUMBER(Timeline!$E17),ISNUMBER(Timeline!$F17),AB$4&lt;=Timeline!$F17,EOMONTH(AB$4,0)&gt;=Timeline!$E17),"C",IF(AND(ISNUMBER(Timeline!$F17),ISNUMBER(Timeline!$K17),AB$4&lt;=Timeline!$K17,EOMONTH(AB$4,0)&gt;Timeline!$F17),"P",IF(AND(ISNUMBER(Timeline!$H17),ISNUMBER(Timeline!$K17),NOT(ISNUMBER(Timeline!$F17)),AB$4&lt;=Timeline!$K17,EOMONTH(AB$4,0)&gt;=Timeline!$H17),"P",IF(AND(ISNUMBER(Timeline!$K17),ISNUMBER(Timeline!$O17),AB$4&lt;=Timeline!$O17,EOMONTH(AB$4,0)&gt;Timeline!$K17),"S",""))))</f>
        <v/>
      </c>
      <c r="AC12" s="17" t="str">
        <f aca="false">IF(AND(ISNUMBER(Timeline!$E17),ISNUMBER(Timeline!$F17),AC$4&lt;=Timeline!$F17,EOMONTH(AC$4,0)&gt;=Timeline!$E17),"C",IF(AND(ISNUMBER(Timeline!$F17),ISNUMBER(Timeline!$K17),AC$4&lt;=Timeline!$K17,EOMONTH(AC$4,0)&gt;Timeline!$F17),"P",IF(AND(ISNUMBER(Timeline!$H17),ISNUMBER(Timeline!$K17),NOT(ISNUMBER(Timeline!$F17)),AC$4&lt;=Timeline!$K17,EOMONTH(AC$4,0)&gt;=Timeline!$H17),"P",IF(AND(ISNUMBER(Timeline!$K17),ISNUMBER(Timeline!$O17),AC$4&lt;=Timeline!$O17,EOMONTH(AC$4,0)&gt;Timeline!$K17),"S",""))))</f>
        <v/>
      </c>
      <c r="AD12" s="17" t="str">
        <f aca="false">IF(AND(ISNUMBER(Timeline!$E17),ISNUMBER(Timeline!$F17),AD$4&lt;=Timeline!$F17,EOMONTH(AD$4,0)&gt;=Timeline!$E17),"C",IF(AND(ISNUMBER(Timeline!$F17),ISNUMBER(Timeline!$K17),AD$4&lt;=Timeline!$K17,EOMONTH(AD$4,0)&gt;Timeline!$F17),"P",IF(AND(ISNUMBER(Timeline!$H17),ISNUMBER(Timeline!$K17),NOT(ISNUMBER(Timeline!$F17)),AD$4&lt;=Timeline!$K17,EOMONTH(AD$4,0)&gt;=Timeline!$H17),"P",IF(AND(ISNUMBER(Timeline!$K17),ISNUMBER(Timeline!$O17),AD$4&lt;=Timeline!$O17,EOMONTH(AD$4,0)&gt;Timeline!$K17),"S",""))))</f>
        <v/>
      </c>
      <c r="AE12" s="17" t="str">
        <f aca="false">IF(AND(ISNUMBER(Timeline!$E17),ISNUMBER(Timeline!$F17),AE$4&lt;=Timeline!$F17,EOMONTH(AE$4,0)&gt;=Timeline!$E17),"C",IF(AND(ISNUMBER(Timeline!$F17),ISNUMBER(Timeline!$K17),AE$4&lt;=Timeline!$K17,EOMONTH(AE$4,0)&gt;Timeline!$F17),"P",IF(AND(ISNUMBER(Timeline!$H17),ISNUMBER(Timeline!$K17),NOT(ISNUMBER(Timeline!$F17)),AE$4&lt;=Timeline!$K17,EOMONTH(AE$4,0)&gt;=Timeline!$H17),"P",IF(AND(ISNUMBER(Timeline!$K17),ISNUMBER(Timeline!$O17),AE$4&lt;=Timeline!$O17,EOMONTH(AE$4,0)&gt;Timeline!$K17),"S",""))))</f>
        <v/>
      </c>
      <c r="AF12" s="17" t="str">
        <f aca="false">IF(AND(ISNUMBER(Timeline!$E17),ISNUMBER(Timeline!$F17),AF$4&lt;=Timeline!$F17,EOMONTH(AF$4,0)&gt;=Timeline!$E17),"C",IF(AND(ISNUMBER(Timeline!$F17),ISNUMBER(Timeline!$K17),AF$4&lt;=Timeline!$K17,EOMONTH(AF$4,0)&gt;Timeline!$F17),"P",IF(AND(ISNUMBER(Timeline!$H17),ISNUMBER(Timeline!$K17),NOT(ISNUMBER(Timeline!$F17)),AF$4&lt;=Timeline!$K17,EOMONTH(AF$4,0)&gt;=Timeline!$H17),"P",IF(AND(ISNUMBER(Timeline!$K17),ISNUMBER(Timeline!$O17),AF$4&lt;=Timeline!$O17,EOMONTH(AF$4,0)&gt;Timeline!$K17),"S",""))))</f>
        <v/>
      </c>
      <c r="AG12" s="17" t="str">
        <f aca="false">IF(AND(ISNUMBER(Timeline!$E17),ISNUMBER(Timeline!$F17),AG$4&lt;=Timeline!$F17,EOMONTH(AG$4,0)&gt;=Timeline!$E17),"C",IF(AND(ISNUMBER(Timeline!$F17),ISNUMBER(Timeline!$K17),AG$4&lt;=Timeline!$K17,EOMONTH(AG$4,0)&gt;Timeline!$F17),"P",IF(AND(ISNUMBER(Timeline!$H17),ISNUMBER(Timeline!$K17),NOT(ISNUMBER(Timeline!$F17)),AG$4&lt;=Timeline!$K17,EOMONTH(AG$4,0)&gt;=Timeline!$H17),"P",IF(AND(ISNUMBER(Timeline!$K17),ISNUMBER(Timeline!$O17),AG$4&lt;=Timeline!$O17,EOMONTH(AG$4,0)&gt;Timeline!$K17),"S",""))))</f>
        <v/>
      </c>
      <c r="AH12" s="17" t="str">
        <f aca="false">IF(AND(ISNUMBER(Timeline!$E17),ISNUMBER(Timeline!$F17),AH$4&lt;=Timeline!$F17,EOMONTH(AH$4,0)&gt;=Timeline!$E17),"C",IF(AND(ISNUMBER(Timeline!$F17),ISNUMBER(Timeline!$K17),AH$4&lt;=Timeline!$K17,EOMONTH(AH$4,0)&gt;Timeline!$F17),"P",IF(AND(ISNUMBER(Timeline!$H17),ISNUMBER(Timeline!$K17),NOT(ISNUMBER(Timeline!$F17)),AH$4&lt;=Timeline!$K17,EOMONTH(AH$4,0)&gt;=Timeline!$H17),"P",IF(AND(ISNUMBER(Timeline!$K17),ISNUMBER(Timeline!$O17),AH$4&lt;=Timeline!$O17,EOMONTH(AH$4,0)&gt;Timeline!$K17),"S",""))))</f>
        <v/>
      </c>
    </row>
    <row r="13" customFormat="false" ht="15" hidden="false" customHeight="false" outlineLevel="0" collapsed="false">
      <c r="A13" s="5" t="n">
        <v>9</v>
      </c>
      <c r="B13" s="16" t="s">
        <v>51</v>
      </c>
      <c r="C13" s="16" t="s">
        <v>33</v>
      </c>
      <c r="D13" s="17" t="str">
        <f aca="false">IF(AND(ISNUMBER(Timeline!$E18),ISNUMBER(Timeline!$F18),D$4&lt;=Timeline!$F18,EOMONTH(D$4,0)&gt;=Timeline!$E18),"C",IF(AND(ISNUMBER(Timeline!$F18),ISNUMBER(Timeline!$K18),D$4&lt;=Timeline!$K18,EOMONTH(D$4,0)&gt;Timeline!$F18),"P",IF(AND(ISNUMBER(Timeline!$H18),ISNUMBER(Timeline!$K18),NOT(ISNUMBER(Timeline!$F18)),D$4&lt;=Timeline!$K18,EOMONTH(D$4,0)&gt;=Timeline!$H18),"P",IF(AND(ISNUMBER(Timeline!$K18),ISNUMBER(Timeline!$O18),D$4&lt;=Timeline!$O18,EOMONTH(D$4,0)&gt;Timeline!$K18),"S",""))))</f>
        <v/>
      </c>
      <c r="E13" s="17" t="str">
        <f aca="false">IF(AND(ISNUMBER(Timeline!$E18),ISNUMBER(Timeline!$F18),E$4&lt;=Timeline!$F18,EOMONTH(E$4,0)&gt;=Timeline!$E18),"C",IF(AND(ISNUMBER(Timeline!$F18),ISNUMBER(Timeline!$K18),E$4&lt;=Timeline!$K18,EOMONTH(E$4,0)&gt;Timeline!$F18),"P",IF(AND(ISNUMBER(Timeline!$H18),ISNUMBER(Timeline!$K18),NOT(ISNUMBER(Timeline!$F18)),E$4&lt;=Timeline!$K18,EOMONTH(E$4,0)&gt;=Timeline!$H18),"P",IF(AND(ISNUMBER(Timeline!$K18),ISNUMBER(Timeline!$O18),E$4&lt;=Timeline!$O18,EOMONTH(E$4,0)&gt;Timeline!$K18),"S",""))))</f>
        <v/>
      </c>
      <c r="F13" s="17" t="str">
        <f aca="false">IF(AND(ISNUMBER(Timeline!$E18),ISNUMBER(Timeline!$F18),F$4&lt;=Timeline!$F18,EOMONTH(F$4,0)&gt;=Timeline!$E18),"C",IF(AND(ISNUMBER(Timeline!$F18),ISNUMBER(Timeline!$K18),F$4&lt;=Timeline!$K18,EOMONTH(F$4,0)&gt;Timeline!$F18),"P",IF(AND(ISNUMBER(Timeline!$H18),ISNUMBER(Timeline!$K18),NOT(ISNUMBER(Timeline!$F18)),F$4&lt;=Timeline!$K18,EOMONTH(F$4,0)&gt;=Timeline!$H18),"P",IF(AND(ISNUMBER(Timeline!$K18),ISNUMBER(Timeline!$O18),F$4&lt;=Timeline!$O18,EOMONTH(F$4,0)&gt;Timeline!$K18),"S",""))))</f>
        <v/>
      </c>
      <c r="G13" s="17" t="str">
        <f aca="false">IF(AND(ISNUMBER(Timeline!$E18),ISNUMBER(Timeline!$F18),G$4&lt;=Timeline!$F18,EOMONTH(G$4,0)&gt;=Timeline!$E18),"C",IF(AND(ISNUMBER(Timeline!$F18),ISNUMBER(Timeline!$K18),G$4&lt;=Timeline!$K18,EOMONTH(G$4,0)&gt;Timeline!$F18),"P",IF(AND(ISNUMBER(Timeline!$H18),ISNUMBER(Timeline!$K18),NOT(ISNUMBER(Timeline!$F18)),G$4&lt;=Timeline!$K18,EOMONTH(G$4,0)&gt;=Timeline!$H18),"P",IF(AND(ISNUMBER(Timeline!$K18),ISNUMBER(Timeline!$O18),G$4&lt;=Timeline!$O18,EOMONTH(G$4,0)&gt;Timeline!$K18),"S",""))))</f>
        <v/>
      </c>
      <c r="H13" s="17" t="str">
        <f aca="false">IF(AND(ISNUMBER(Timeline!$E18),ISNUMBER(Timeline!$F18),H$4&lt;=Timeline!$F18,EOMONTH(H$4,0)&gt;=Timeline!$E18),"C",IF(AND(ISNUMBER(Timeline!$F18),ISNUMBER(Timeline!$K18),H$4&lt;=Timeline!$K18,EOMONTH(H$4,0)&gt;Timeline!$F18),"P",IF(AND(ISNUMBER(Timeline!$H18),ISNUMBER(Timeline!$K18),NOT(ISNUMBER(Timeline!$F18)),H$4&lt;=Timeline!$K18,EOMONTH(H$4,0)&gt;=Timeline!$H18),"P",IF(AND(ISNUMBER(Timeline!$K18),ISNUMBER(Timeline!$O18),H$4&lt;=Timeline!$O18,EOMONTH(H$4,0)&gt;Timeline!$K18),"S",""))))</f>
        <v/>
      </c>
      <c r="I13" s="17" t="str">
        <f aca="false">IF(AND(ISNUMBER(Timeline!$E18),ISNUMBER(Timeline!$F18),I$4&lt;=Timeline!$F18,EOMONTH(I$4,0)&gt;=Timeline!$E18),"C",IF(AND(ISNUMBER(Timeline!$F18),ISNUMBER(Timeline!$K18),I$4&lt;=Timeline!$K18,EOMONTH(I$4,0)&gt;Timeline!$F18),"P",IF(AND(ISNUMBER(Timeline!$H18),ISNUMBER(Timeline!$K18),NOT(ISNUMBER(Timeline!$F18)),I$4&lt;=Timeline!$K18,EOMONTH(I$4,0)&gt;=Timeline!$H18),"P",IF(AND(ISNUMBER(Timeline!$K18),ISNUMBER(Timeline!$O18),I$4&lt;=Timeline!$O18,EOMONTH(I$4,0)&gt;Timeline!$K18),"S",""))))</f>
        <v/>
      </c>
      <c r="J13" s="17" t="str">
        <f aca="false">IF(AND(ISNUMBER(Timeline!$E18),ISNUMBER(Timeline!$F18),J$4&lt;=Timeline!$F18,EOMONTH(J$4,0)&gt;=Timeline!$E18),"C",IF(AND(ISNUMBER(Timeline!$F18),ISNUMBER(Timeline!$K18),J$4&lt;=Timeline!$K18,EOMONTH(J$4,0)&gt;Timeline!$F18),"P",IF(AND(ISNUMBER(Timeline!$H18),ISNUMBER(Timeline!$K18),NOT(ISNUMBER(Timeline!$F18)),J$4&lt;=Timeline!$K18,EOMONTH(J$4,0)&gt;=Timeline!$H18),"P",IF(AND(ISNUMBER(Timeline!$K18),ISNUMBER(Timeline!$O18),J$4&lt;=Timeline!$O18,EOMONTH(J$4,0)&gt;Timeline!$K18),"S",""))))</f>
        <v>P</v>
      </c>
      <c r="K13" s="17" t="str">
        <f aca="false">IF(AND(ISNUMBER(Timeline!$E18),ISNUMBER(Timeline!$F18),K$4&lt;=Timeline!$F18,EOMONTH(K$4,0)&gt;=Timeline!$E18),"C",IF(AND(ISNUMBER(Timeline!$F18),ISNUMBER(Timeline!$K18),K$4&lt;=Timeline!$K18,EOMONTH(K$4,0)&gt;Timeline!$F18),"P",IF(AND(ISNUMBER(Timeline!$H18),ISNUMBER(Timeline!$K18),NOT(ISNUMBER(Timeline!$F18)),K$4&lt;=Timeline!$K18,EOMONTH(K$4,0)&gt;=Timeline!$H18),"P",IF(AND(ISNUMBER(Timeline!$K18),ISNUMBER(Timeline!$O18),K$4&lt;=Timeline!$O18,EOMONTH(K$4,0)&gt;Timeline!$K18),"S",""))))</f>
        <v>P</v>
      </c>
      <c r="L13" s="17" t="str">
        <f aca="false">IF(AND(ISNUMBER(Timeline!$E18),ISNUMBER(Timeline!$F18),L$4&lt;=Timeline!$F18,EOMONTH(L$4,0)&gt;=Timeline!$E18),"C",IF(AND(ISNUMBER(Timeline!$F18),ISNUMBER(Timeline!$K18),L$4&lt;=Timeline!$K18,EOMONTH(L$4,0)&gt;Timeline!$F18),"P",IF(AND(ISNUMBER(Timeline!$H18),ISNUMBER(Timeline!$K18),NOT(ISNUMBER(Timeline!$F18)),L$4&lt;=Timeline!$K18,EOMONTH(L$4,0)&gt;=Timeline!$H18),"P",IF(AND(ISNUMBER(Timeline!$K18),ISNUMBER(Timeline!$O18),L$4&lt;=Timeline!$O18,EOMONTH(L$4,0)&gt;Timeline!$K18),"S",""))))</f>
        <v>P</v>
      </c>
      <c r="M13" s="17" t="str">
        <f aca="false">IF(AND(ISNUMBER(Timeline!$E18),ISNUMBER(Timeline!$F18),M$4&lt;=Timeline!$F18,EOMONTH(M$4,0)&gt;=Timeline!$E18),"C",IF(AND(ISNUMBER(Timeline!$F18),ISNUMBER(Timeline!$K18),M$4&lt;=Timeline!$K18,EOMONTH(M$4,0)&gt;Timeline!$F18),"P",IF(AND(ISNUMBER(Timeline!$H18),ISNUMBER(Timeline!$K18),NOT(ISNUMBER(Timeline!$F18)),M$4&lt;=Timeline!$K18,EOMONTH(M$4,0)&gt;=Timeline!$H18),"P",IF(AND(ISNUMBER(Timeline!$K18),ISNUMBER(Timeline!$O18),M$4&lt;=Timeline!$O18,EOMONTH(M$4,0)&gt;Timeline!$K18),"S",""))))</f>
        <v>P</v>
      </c>
      <c r="N13" s="17" t="str">
        <f aca="false">IF(AND(ISNUMBER(Timeline!$E18),ISNUMBER(Timeline!$F18),N$4&lt;=Timeline!$F18,EOMONTH(N$4,0)&gt;=Timeline!$E18),"C",IF(AND(ISNUMBER(Timeline!$F18),ISNUMBER(Timeline!$K18),N$4&lt;=Timeline!$K18,EOMONTH(N$4,0)&gt;Timeline!$F18),"P",IF(AND(ISNUMBER(Timeline!$H18),ISNUMBER(Timeline!$K18),NOT(ISNUMBER(Timeline!$F18)),N$4&lt;=Timeline!$K18,EOMONTH(N$4,0)&gt;=Timeline!$H18),"P",IF(AND(ISNUMBER(Timeline!$K18),ISNUMBER(Timeline!$O18),N$4&lt;=Timeline!$O18,EOMONTH(N$4,0)&gt;Timeline!$K18),"S",""))))</f>
        <v>P</v>
      </c>
      <c r="O13" s="17" t="str">
        <f aca="false">IF(AND(ISNUMBER(Timeline!$E18),ISNUMBER(Timeline!$F18),O$4&lt;=Timeline!$F18,EOMONTH(O$4,0)&gt;=Timeline!$E18),"C",IF(AND(ISNUMBER(Timeline!$F18),ISNUMBER(Timeline!$K18),O$4&lt;=Timeline!$K18,EOMONTH(O$4,0)&gt;Timeline!$F18),"P",IF(AND(ISNUMBER(Timeline!$H18),ISNUMBER(Timeline!$K18),NOT(ISNUMBER(Timeline!$F18)),O$4&lt;=Timeline!$K18,EOMONTH(O$4,0)&gt;=Timeline!$H18),"P",IF(AND(ISNUMBER(Timeline!$K18),ISNUMBER(Timeline!$O18),O$4&lt;=Timeline!$O18,EOMONTH(O$4,0)&gt;Timeline!$K18),"S",""))))</f>
        <v>P</v>
      </c>
      <c r="P13" s="17" t="str">
        <f aca="false">IF(AND(ISNUMBER(Timeline!$E18),ISNUMBER(Timeline!$F18),P$4&lt;=Timeline!$F18,EOMONTH(P$4,0)&gt;=Timeline!$E18),"C",IF(AND(ISNUMBER(Timeline!$F18),ISNUMBER(Timeline!$K18),P$4&lt;=Timeline!$K18,EOMONTH(P$4,0)&gt;Timeline!$F18),"P",IF(AND(ISNUMBER(Timeline!$H18),ISNUMBER(Timeline!$K18),NOT(ISNUMBER(Timeline!$F18)),P$4&lt;=Timeline!$K18,EOMONTH(P$4,0)&gt;=Timeline!$H18),"P",IF(AND(ISNUMBER(Timeline!$K18),ISNUMBER(Timeline!$O18),P$4&lt;=Timeline!$O18,EOMONTH(P$4,0)&gt;Timeline!$K18),"S",""))))</f>
        <v>P</v>
      </c>
      <c r="Q13" s="17" t="str">
        <f aca="false">IF(AND(ISNUMBER(Timeline!$E18),ISNUMBER(Timeline!$F18),Q$4&lt;=Timeline!$F18,EOMONTH(Q$4,0)&gt;=Timeline!$E18),"C",IF(AND(ISNUMBER(Timeline!$F18),ISNUMBER(Timeline!$K18),Q$4&lt;=Timeline!$K18,EOMONTH(Q$4,0)&gt;Timeline!$F18),"P",IF(AND(ISNUMBER(Timeline!$H18),ISNUMBER(Timeline!$K18),NOT(ISNUMBER(Timeline!$F18)),Q$4&lt;=Timeline!$K18,EOMONTH(Q$4,0)&gt;=Timeline!$H18),"P",IF(AND(ISNUMBER(Timeline!$K18),ISNUMBER(Timeline!$O18),Q$4&lt;=Timeline!$O18,EOMONTH(Q$4,0)&gt;Timeline!$K18),"S",""))))</f>
        <v>S</v>
      </c>
      <c r="R13" s="17" t="str">
        <f aca="false">IF(AND(ISNUMBER(Timeline!$E18),ISNUMBER(Timeline!$F18),R$4&lt;=Timeline!$F18,EOMONTH(R$4,0)&gt;=Timeline!$E18),"C",IF(AND(ISNUMBER(Timeline!$F18),ISNUMBER(Timeline!$K18),R$4&lt;=Timeline!$K18,EOMONTH(R$4,0)&gt;Timeline!$F18),"P",IF(AND(ISNUMBER(Timeline!$H18),ISNUMBER(Timeline!$K18),NOT(ISNUMBER(Timeline!$F18)),R$4&lt;=Timeline!$K18,EOMONTH(R$4,0)&gt;=Timeline!$H18),"P",IF(AND(ISNUMBER(Timeline!$K18),ISNUMBER(Timeline!$O18),R$4&lt;=Timeline!$O18,EOMONTH(R$4,0)&gt;Timeline!$K18),"S",""))))</f>
        <v>S</v>
      </c>
      <c r="S13" s="17" t="str">
        <f aca="false">IF(AND(ISNUMBER(Timeline!$E18),ISNUMBER(Timeline!$F18),S$4&lt;=Timeline!$F18,EOMONTH(S$4,0)&gt;=Timeline!$E18),"C",IF(AND(ISNUMBER(Timeline!$F18),ISNUMBER(Timeline!$K18),S$4&lt;=Timeline!$K18,EOMONTH(S$4,0)&gt;Timeline!$F18),"P",IF(AND(ISNUMBER(Timeline!$H18),ISNUMBER(Timeline!$K18),NOT(ISNUMBER(Timeline!$F18)),S$4&lt;=Timeline!$K18,EOMONTH(S$4,0)&gt;=Timeline!$H18),"P",IF(AND(ISNUMBER(Timeline!$K18),ISNUMBER(Timeline!$O18),S$4&lt;=Timeline!$O18,EOMONTH(S$4,0)&gt;Timeline!$K18),"S",""))))</f>
        <v>S</v>
      </c>
      <c r="T13" s="17" t="str">
        <f aca="false">IF(AND(ISNUMBER(Timeline!$E18),ISNUMBER(Timeline!$F18),T$4&lt;=Timeline!$F18,EOMONTH(T$4,0)&gt;=Timeline!$E18),"C",IF(AND(ISNUMBER(Timeline!$F18),ISNUMBER(Timeline!$K18),T$4&lt;=Timeline!$K18,EOMONTH(T$4,0)&gt;Timeline!$F18),"P",IF(AND(ISNUMBER(Timeline!$H18),ISNUMBER(Timeline!$K18),NOT(ISNUMBER(Timeline!$F18)),T$4&lt;=Timeline!$K18,EOMONTH(T$4,0)&gt;=Timeline!$H18),"P",IF(AND(ISNUMBER(Timeline!$K18),ISNUMBER(Timeline!$O18),T$4&lt;=Timeline!$O18,EOMONTH(T$4,0)&gt;Timeline!$K18),"S",""))))</f>
        <v>S</v>
      </c>
      <c r="U13" s="17" t="str">
        <f aca="false">IF(AND(ISNUMBER(Timeline!$E18),ISNUMBER(Timeline!$F18),U$4&lt;=Timeline!$F18,EOMONTH(U$4,0)&gt;=Timeline!$E18),"C",IF(AND(ISNUMBER(Timeline!$F18),ISNUMBER(Timeline!$K18),U$4&lt;=Timeline!$K18,EOMONTH(U$4,0)&gt;Timeline!$F18),"P",IF(AND(ISNUMBER(Timeline!$H18),ISNUMBER(Timeline!$K18),NOT(ISNUMBER(Timeline!$F18)),U$4&lt;=Timeline!$K18,EOMONTH(U$4,0)&gt;=Timeline!$H18),"P",IF(AND(ISNUMBER(Timeline!$K18),ISNUMBER(Timeline!$O18),U$4&lt;=Timeline!$O18,EOMONTH(U$4,0)&gt;Timeline!$K18),"S",""))))</f>
        <v/>
      </c>
      <c r="V13" s="17" t="str">
        <f aca="false">IF(AND(ISNUMBER(Timeline!$E18),ISNUMBER(Timeline!$F18),V$4&lt;=Timeline!$F18,EOMONTH(V$4,0)&gt;=Timeline!$E18),"C",IF(AND(ISNUMBER(Timeline!$F18),ISNUMBER(Timeline!$K18),V$4&lt;=Timeline!$K18,EOMONTH(V$4,0)&gt;Timeline!$F18),"P",IF(AND(ISNUMBER(Timeline!$H18),ISNUMBER(Timeline!$K18),NOT(ISNUMBER(Timeline!$F18)),V$4&lt;=Timeline!$K18,EOMONTH(V$4,0)&gt;=Timeline!$H18),"P",IF(AND(ISNUMBER(Timeline!$K18),ISNUMBER(Timeline!$O18),V$4&lt;=Timeline!$O18,EOMONTH(V$4,0)&gt;Timeline!$K18),"S",""))))</f>
        <v/>
      </c>
      <c r="W13" s="17" t="str">
        <f aca="false">IF(AND(ISNUMBER(Timeline!$E18),ISNUMBER(Timeline!$F18),W$4&lt;=Timeline!$F18,EOMONTH(W$4,0)&gt;=Timeline!$E18),"C",IF(AND(ISNUMBER(Timeline!$F18),ISNUMBER(Timeline!$K18),W$4&lt;=Timeline!$K18,EOMONTH(W$4,0)&gt;Timeline!$F18),"P",IF(AND(ISNUMBER(Timeline!$H18),ISNUMBER(Timeline!$K18),NOT(ISNUMBER(Timeline!$F18)),W$4&lt;=Timeline!$K18,EOMONTH(W$4,0)&gt;=Timeline!$H18),"P",IF(AND(ISNUMBER(Timeline!$K18),ISNUMBER(Timeline!$O18),W$4&lt;=Timeline!$O18,EOMONTH(W$4,0)&gt;Timeline!$K18),"S",""))))</f>
        <v/>
      </c>
      <c r="X13" s="17" t="str">
        <f aca="false">IF(AND(ISNUMBER(Timeline!$E18),ISNUMBER(Timeline!$F18),X$4&lt;=Timeline!$F18,EOMONTH(X$4,0)&gt;=Timeline!$E18),"C",IF(AND(ISNUMBER(Timeline!$F18),ISNUMBER(Timeline!$K18),X$4&lt;=Timeline!$K18,EOMONTH(X$4,0)&gt;Timeline!$F18),"P",IF(AND(ISNUMBER(Timeline!$H18),ISNUMBER(Timeline!$K18),NOT(ISNUMBER(Timeline!$F18)),X$4&lt;=Timeline!$K18,EOMONTH(X$4,0)&gt;=Timeline!$H18),"P",IF(AND(ISNUMBER(Timeline!$K18),ISNUMBER(Timeline!$O18),X$4&lt;=Timeline!$O18,EOMONTH(X$4,0)&gt;Timeline!$K18),"S",""))))</f>
        <v/>
      </c>
      <c r="Y13" s="17" t="str">
        <f aca="false">IF(AND(ISNUMBER(Timeline!$E18),ISNUMBER(Timeline!$F18),Y$4&lt;=Timeline!$F18,EOMONTH(Y$4,0)&gt;=Timeline!$E18),"C",IF(AND(ISNUMBER(Timeline!$F18),ISNUMBER(Timeline!$K18),Y$4&lt;=Timeline!$K18,EOMONTH(Y$4,0)&gt;Timeline!$F18),"P",IF(AND(ISNUMBER(Timeline!$H18),ISNUMBER(Timeline!$K18),NOT(ISNUMBER(Timeline!$F18)),Y$4&lt;=Timeline!$K18,EOMONTH(Y$4,0)&gt;=Timeline!$H18),"P",IF(AND(ISNUMBER(Timeline!$K18),ISNUMBER(Timeline!$O18),Y$4&lt;=Timeline!$O18,EOMONTH(Y$4,0)&gt;Timeline!$K18),"S",""))))</f>
        <v/>
      </c>
      <c r="Z13" s="17" t="str">
        <f aca="false">IF(AND(ISNUMBER(Timeline!$E18),ISNUMBER(Timeline!$F18),Z$4&lt;=Timeline!$F18,EOMONTH(Z$4,0)&gt;=Timeline!$E18),"C",IF(AND(ISNUMBER(Timeline!$F18),ISNUMBER(Timeline!$K18),Z$4&lt;=Timeline!$K18,EOMONTH(Z$4,0)&gt;Timeline!$F18),"P",IF(AND(ISNUMBER(Timeline!$H18),ISNUMBER(Timeline!$K18),NOT(ISNUMBER(Timeline!$F18)),Z$4&lt;=Timeline!$K18,EOMONTH(Z$4,0)&gt;=Timeline!$H18),"P",IF(AND(ISNUMBER(Timeline!$K18),ISNUMBER(Timeline!$O18),Z$4&lt;=Timeline!$O18,EOMONTH(Z$4,0)&gt;Timeline!$K18),"S",""))))</f>
        <v/>
      </c>
      <c r="AA13" s="17" t="str">
        <f aca="false">IF(AND(ISNUMBER(Timeline!$E18),ISNUMBER(Timeline!$F18),AA$4&lt;=Timeline!$F18,EOMONTH(AA$4,0)&gt;=Timeline!$E18),"C",IF(AND(ISNUMBER(Timeline!$F18),ISNUMBER(Timeline!$K18),AA$4&lt;=Timeline!$K18,EOMONTH(AA$4,0)&gt;Timeline!$F18),"P",IF(AND(ISNUMBER(Timeline!$H18),ISNUMBER(Timeline!$K18),NOT(ISNUMBER(Timeline!$F18)),AA$4&lt;=Timeline!$K18,EOMONTH(AA$4,0)&gt;=Timeline!$H18),"P",IF(AND(ISNUMBER(Timeline!$K18),ISNUMBER(Timeline!$O18),AA$4&lt;=Timeline!$O18,EOMONTH(AA$4,0)&gt;Timeline!$K18),"S",""))))</f>
        <v/>
      </c>
      <c r="AB13" s="17" t="str">
        <f aca="false">IF(AND(ISNUMBER(Timeline!$E18),ISNUMBER(Timeline!$F18),AB$4&lt;=Timeline!$F18,EOMONTH(AB$4,0)&gt;=Timeline!$E18),"C",IF(AND(ISNUMBER(Timeline!$F18),ISNUMBER(Timeline!$K18),AB$4&lt;=Timeline!$K18,EOMONTH(AB$4,0)&gt;Timeline!$F18),"P",IF(AND(ISNUMBER(Timeline!$H18),ISNUMBER(Timeline!$K18),NOT(ISNUMBER(Timeline!$F18)),AB$4&lt;=Timeline!$K18,EOMONTH(AB$4,0)&gt;=Timeline!$H18),"P",IF(AND(ISNUMBER(Timeline!$K18),ISNUMBER(Timeline!$O18),AB$4&lt;=Timeline!$O18,EOMONTH(AB$4,0)&gt;Timeline!$K18),"S",""))))</f>
        <v/>
      </c>
      <c r="AC13" s="17" t="str">
        <f aca="false">IF(AND(ISNUMBER(Timeline!$E18),ISNUMBER(Timeline!$F18),AC$4&lt;=Timeline!$F18,EOMONTH(AC$4,0)&gt;=Timeline!$E18),"C",IF(AND(ISNUMBER(Timeline!$F18),ISNUMBER(Timeline!$K18),AC$4&lt;=Timeline!$K18,EOMONTH(AC$4,0)&gt;Timeline!$F18),"P",IF(AND(ISNUMBER(Timeline!$H18),ISNUMBER(Timeline!$K18),NOT(ISNUMBER(Timeline!$F18)),AC$4&lt;=Timeline!$K18,EOMONTH(AC$4,0)&gt;=Timeline!$H18),"P",IF(AND(ISNUMBER(Timeline!$K18),ISNUMBER(Timeline!$O18),AC$4&lt;=Timeline!$O18,EOMONTH(AC$4,0)&gt;Timeline!$K18),"S",""))))</f>
        <v/>
      </c>
      <c r="AD13" s="17" t="str">
        <f aca="false">IF(AND(ISNUMBER(Timeline!$E18),ISNUMBER(Timeline!$F18),AD$4&lt;=Timeline!$F18,EOMONTH(AD$4,0)&gt;=Timeline!$E18),"C",IF(AND(ISNUMBER(Timeline!$F18),ISNUMBER(Timeline!$K18),AD$4&lt;=Timeline!$K18,EOMONTH(AD$4,0)&gt;Timeline!$F18),"P",IF(AND(ISNUMBER(Timeline!$H18),ISNUMBER(Timeline!$K18),NOT(ISNUMBER(Timeline!$F18)),AD$4&lt;=Timeline!$K18,EOMONTH(AD$4,0)&gt;=Timeline!$H18),"P",IF(AND(ISNUMBER(Timeline!$K18),ISNUMBER(Timeline!$O18),AD$4&lt;=Timeline!$O18,EOMONTH(AD$4,0)&gt;Timeline!$K18),"S",""))))</f>
        <v/>
      </c>
      <c r="AE13" s="17" t="str">
        <f aca="false">IF(AND(ISNUMBER(Timeline!$E18),ISNUMBER(Timeline!$F18),AE$4&lt;=Timeline!$F18,EOMONTH(AE$4,0)&gt;=Timeline!$E18),"C",IF(AND(ISNUMBER(Timeline!$F18),ISNUMBER(Timeline!$K18),AE$4&lt;=Timeline!$K18,EOMONTH(AE$4,0)&gt;Timeline!$F18),"P",IF(AND(ISNUMBER(Timeline!$H18),ISNUMBER(Timeline!$K18),NOT(ISNUMBER(Timeline!$F18)),AE$4&lt;=Timeline!$K18,EOMONTH(AE$4,0)&gt;=Timeline!$H18),"P",IF(AND(ISNUMBER(Timeline!$K18),ISNUMBER(Timeline!$O18),AE$4&lt;=Timeline!$O18,EOMONTH(AE$4,0)&gt;Timeline!$K18),"S",""))))</f>
        <v/>
      </c>
      <c r="AF13" s="17" t="str">
        <f aca="false">IF(AND(ISNUMBER(Timeline!$E18),ISNUMBER(Timeline!$F18),AF$4&lt;=Timeline!$F18,EOMONTH(AF$4,0)&gt;=Timeline!$E18),"C",IF(AND(ISNUMBER(Timeline!$F18),ISNUMBER(Timeline!$K18),AF$4&lt;=Timeline!$K18,EOMONTH(AF$4,0)&gt;Timeline!$F18),"P",IF(AND(ISNUMBER(Timeline!$H18),ISNUMBER(Timeline!$K18),NOT(ISNUMBER(Timeline!$F18)),AF$4&lt;=Timeline!$K18,EOMONTH(AF$4,0)&gt;=Timeline!$H18),"P",IF(AND(ISNUMBER(Timeline!$K18),ISNUMBER(Timeline!$O18),AF$4&lt;=Timeline!$O18,EOMONTH(AF$4,0)&gt;Timeline!$K18),"S",""))))</f>
        <v/>
      </c>
      <c r="AG13" s="17" t="str">
        <f aca="false">IF(AND(ISNUMBER(Timeline!$E18),ISNUMBER(Timeline!$F18),AG$4&lt;=Timeline!$F18,EOMONTH(AG$4,0)&gt;=Timeline!$E18),"C",IF(AND(ISNUMBER(Timeline!$F18),ISNUMBER(Timeline!$K18),AG$4&lt;=Timeline!$K18,EOMONTH(AG$4,0)&gt;Timeline!$F18),"P",IF(AND(ISNUMBER(Timeline!$H18),ISNUMBER(Timeline!$K18),NOT(ISNUMBER(Timeline!$F18)),AG$4&lt;=Timeline!$K18,EOMONTH(AG$4,0)&gt;=Timeline!$H18),"P",IF(AND(ISNUMBER(Timeline!$K18),ISNUMBER(Timeline!$O18),AG$4&lt;=Timeline!$O18,EOMONTH(AG$4,0)&gt;Timeline!$K18),"S",""))))</f>
        <v/>
      </c>
      <c r="AH13" s="17" t="str">
        <f aca="false">IF(AND(ISNUMBER(Timeline!$E18),ISNUMBER(Timeline!$F18),AH$4&lt;=Timeline!$F18,EOMONTH(AH$4,0)&gt;=Timeline!$E18),"C",IF(AND(ISNUMBER(Timeline!$F18),ISNUMBER(Timeline!$K18),AH$4&lt;=Timeline!$K18,EOMONTH(AH$4,0)&gt;Timeline!$F18),"P",IF(AND(ISNUMBER(Timeline!$H18),ISNUMBER(Timeline!$K18),NOT(ISNUMBER(Timeline!$F18)),AH$4&lt;=Timeline!$K18,EOMONTH(AH$4,0)&gt;=Timeline!$H18),"P",IF(AND(ISNUMBER(Timeline!$K18),ISNUMBER(Timeline!$O18),AH$4&lt;=Timeline!$O18,EOMONTH(AH$4,0)&gt;Timeline!$K18),"S",""))))</f>
        <v/>
      </c>
    </row>
    <row r="14" customFormat="false" ht="15" hidden="false" customHeight="false" outlineLevel="0" collapsed="false">
      <c r="A14" s="5" t="n">
        <v>10</v>
      </c>
      <c r="B14" s="16" t="s">
        <v>53</v>
      </c>
      <c r="C14" s="16" t="s">
        <v>26</v>
      </c>
      <c r="D14" s="17" t="str">
        <f aca="false">IF(AND(ISNUMBER(Timeline!$E19),ISNUMBER(Timeline!$F19),D$4&lt;=Timeline!$F19,EOMONTH(D$4,0)&gt;=Timeline!$E19),"C",IF(AND(ISNUMBER(Timeline!$F19),ISNUMBER(Timeline!$K19),D$4&lt;=Timeline!$K19,EOMONTH(D$4,0)&gt;Timeline!$F19),"P",IF(AND(ISNUMBER(Timeline!$H19),ISNUMBER(Timeline!$K19),NOT(ISNUMBER(Timeline!$F19)),D$4&lt;=Timeline!$K19,EOMONTH(D$4,0)&gt;=Timeline!$H19),"P",IF(AND(ISNUMBER(Timeline!$K19),ISNUMBER(Timeline!$O19),D$4&lt;=Timeline!$O19,EOMONTH(D$4,0)&gt;Timeline!$K19),"S",""))))</f>
        <v/>
      </c>
      <c r="E14" s="17" t="str">
        <f aca="false">IF(AND(ISNUMBER(Timeline!$E19),ISNUMBER(Timeline!$F19),E$4&lt;=Timeline!$F19,EOMONTH(E$4,0)&gt;=Timeline!$E19),"C",IF(AND(ISNUMBER(Timeline!$F19),ISNUMBER(Timeline!$K19),E$4&lt;=Timeline!$K19,EOMONTH(E$4,0)&gt;Timeline!$F19),"P",IF(AND(ISNUMBER(Timeline!$H19),ISNUMBER(Timeline!$K19),NOT(ISNUMBER(Timeline!$F19)),E$4&lt;=Timeline!$K19,EOMONTH(E$4,0)&gt;=Timeline!$H19),"P",IF(AND(ISNUMBER(Timeline!$K19),ISNUMBER(Timeline!$O19),E$4&lt;=Timeline!$O19,EOMONTH(E$4,0)&gt;Timeline!$K19),"S",""))))</f>
        <v/>
      </c>
      <c r="F14" s="17" t="str">
        <f aca="false">IF(AND(ISNUMBER(Timeline!$E19),ISNUMBER(Timeline!$F19),F$4&lt;=Timeline!$F19,EOMONTH(F$4,0)&gt;=Timeline!$E19),"C",IF(AND(ISNUMBER(Timeline!$F19),ISNUMBER(Timeline!$K19),F$4&lt;=Timeline!$K19,EOMONTH(F$4,0)&gt;Timeline!$F19),"P",IF(AND(ISNUMBER(Timeline!$H19),ISNUMBER(Timeline!$K19),NOT(ISNUMBER(Timeline!$F19)),F$4&lt;=Timeline!$K19,EOMONTH(F$4,0)&gt;=Timeline!$H19),"P",IF(AND(ISNUMBER(Timeline!$K19),ISNUMBER(Timeline!$O19),F$4&lt;=Timeline!$O19,EOMONTH(F$4,0)&gt;Timeline!$K19),"S",""))))</f>
        <v/>
      </c>
      <c r="G14" s="17" t="str">
        <f aca="false">IF(AND(ISNUMBER(Timeline!$E19),ISNUMBER(Timeline!$F19),G$4&lt;=Timeline!$F19,EOMONTH(G$4,0)&gt;=Timeline!$E19),"C",IF(AND(ISNUMBER(Timeline!$F19),ISNUMBER(Timeline!$K19),G$4&lt;=Timeline!$K19,EOMONTH(G$4,0)&gt;Timeline!$F19),"P",IF(AND(ISNUMBER(Timeline!$H19),ISNUMBER(Timeline!$K19),NOT(ISNUMBER(Timeline!$F19)),G$4&lt;=Timeline!$K19,EOMONTH(G$4,0)&gt;=Timeline!$H19),"P",IF(AND(ISNUMBER(Timeline!$K19),ISNUMBER(Timeline!$O19),G$4&lt;=Timeline!$O19,EOMONTH(G$4,0)&gt;Timeline!$K19),"S",""))))</f>
        <v/>
      </c>
      <c r="H14" s="17" t="str">
        <f aca="false">IF(AND(ISNUMBER(Timeline!$E19),ISNUMBER(Timeline!$F19),H$4&lt;=Timeline!$F19,EOMONTH(H$4,0)&gt;=Timeline!$E19),"C",IF(AND(ISNUMBER(Timeline!$F19),ISNUMBER(Timeline!$K19),H$4&lt;=Timeline!$K19,EOMONTH(H$4,0)&gt;Timeline!$F19),"P",IF(AND(ISNUMBER(Timeline!$H19),ISNUMBER(Timeline!$K19),NOT(ISNUMBER(Timeline!$F19)),H$4&lt;=Timeline!$K19,EOMONTH(H$4,0)&gt;=Timeline!$H19),"P",IF(AND(ISNUMBER(Timeline!$K19),ISNUMBER(Timeline!$O19),H$4&lt;=Timeline!$O19,EOMONTH(H$4,0)&gt;Timeline!$K19),"S",""))))</f>
        <v/>
      </c>
      <c r="I14" s="17" t="str">
        <f aca="false">IF(AND(ISNUMBER(Timeline!$E19),ISNUMBER(Timeline!$F19),I$4&lt;=Timeline!$F19,EOMONTH(I$4,0)&gt;=Timeline!$E19),"C",IF(AND(ISNUMBER(Timeline!$F19),ISNUMBER(Timeline!$K19),I$4&lt;=Timeline!$K19,EOMONTH(I$4,0)&gt;Timeline!$F19),"P",IF(AND(ISNUMBER(Timeline!$H19),ISNUMBER(Timeline!$K19),NOT(ISNUMBER(Timeline!$F19)),I$4&lt;=Timeline!$K19,EOMONTH(I$4,0)&gt;=Timeline!$H19),"P",IF(AND(ISNUMBER(Timeline!$K19),ISNUMBER(Timeline!$O19),I$4&lt;=Timeline!$O19,EOMONTH(I$4,0)&gt;Timeline!$K19),"S",""))))</f>
        <v/>
      </c>
      <c r="J14" s="17" t="str">
        <f aca="false">IF(AND(ISNUMBER(Timeline!$E19),ISNUMBER(Timeline!$F19),J$4&lt;=Timeline!$F19,EOMONTH(J$4,0)&gt;=Timeline!$E19),"C",IF(AND(ISNUMBER(Timeline!$F19),ISNUMBER(Timeline!$K19),J$4&lt;=Timeline!$K19,EOMONTH(J$4,0)&gt;Timeline!$F19),"P",IF(AND(ISNUMBER(Timeline!$H19),ISNUMBER(Timeline!$K19),NOT(ISNUMBER(Timeline!$F19)),J$4&lt;=Timeline!$K19,EOMONTH(J$4,0)&gt;=Timeline!$H19),"P",IF(AND(ISNUMBER(Timeline!$K19),ISNUMBER(Timeline!$O19),J$4&lt;=Timeline!$O19,EOMONTH(J$4,0)&gt;Timeline!$K19),"S",""))))</f>
        <v>P</v>
      </c>
      <c r="K14" s="17" t="str">
        <f aca="false">IF(AND(ISNUMBER(Timeline!$E19),ISNUMBER(Timeline!$F19),K$4&lt;=Timeline!$F19,EOMONTH(K$4,0)&gt;=Timeline!$E19),"C",IF(AND(ISNUMBER(Timeline!$F19),ISNUMBER(Timeline!$K19),K$4&lt;=Timeline!$K19,EOMONTH(K$4,0)&gt;Timeline!$F19),"P",IF(AND(ISNUMBER(Timeline!$H19),ISNUMBER(Timeline!$K19),NOT(ISNUMBER(Timeline!$F19)),K$4&lt;=Timeline!$K19,EOMONTH(K$4,0)&gt;=Timeline!$H19),"P",IF(AND(ISNUMBER(Timeline!$K19),ISNUMBER(Timeline!$O19),K$4&lt;=Timeline!$O19,EOMONTH(K$4,0)&gt;Timeline!$K19),"S",""))))</f>
        <v>P</v>
      </c>
      <c r="L14" s="17" t="str">
        <f aca="false">IF(AND(ISNUMBER(Timeline!$E19),ISNUMBER(Timeline!$F19),L$4&lt;=Timeline!$F19,EOMONTH(L$4,0)&gt;=Timeline!$E19),"C",IF(AND(ISNUMBER(Timeline!$F19),ISNUMBER(Timeline!$K19),L$4&lt;=Timeline!$K19,EOMONTH(L$4,0)&gt;Timeline!$F19),"P",IF(AND(ISNUMBER(Timeline!$H19),ISNUMBER(Timeline!$K19),NOT(ISNUMBER(Timeline!$F19)),L$4&lt;=Timeline!$K19,EOMONTH(L$4,0)&gt;=Timeline!$H19),"P",IF(AND(ISNUMBER(Timeline!$K19),ISNUMBER(Timeline!$O19),L$4&lt;=Timeline!$O19,EOMONTH(L$4,0)&gt;Timeline!$K19),"S",""))))</f>
        <v>P</v>
      </c>
      <c r="M14" s="17" t="str">
        <f aca="false">IF(AND(ISNUMBER(Timeline!$E19),ISNUMBER(Timeline!$F19),M$4&lt;=Timeline!$F19,EOMONTH(M$4,0)&gt;=Timeline!$E19),"C",IF(AND(ISNUMBER(Timeline!$F19),ISNUMBER(Timeline!$K19),M$4&lt;=Timeline!$K19,EOMONTH(M$4,0)&gt;Timeline!$F19),"P",IF(AND(ISNUMBER(Timeline!$H19),ISNUMBER(Timeline!$K19),NOT(ISNUMBER(Timeline!$F19)),M$4&lt;=Timeline!$K19,EOMONTH(M$4,0)&gt;=Timeline!$H19),"P",IF(AND(ISNUMBER(Timeline!$K19),ISNUMBER(Timeline!$O19),M$4&lt;=Timeline!$O19,EOMONTH(M$4,0)&gt;Timeline!$K19),"S",""))))</f>
        <v>P</v>
      </c>
      <c r="N14" s="17" t="str">
        <f aca="false">IF(AND(ISNUMBER(Timeline!$E19),ISNUMBER(Timeline!$F19),N$4&lt;=Timeline!$F19,EOMONTH(N$4,0)&gt;=Timeline!$E19),"C",IF(AND(ISNUMBER(Timeline!$F19),ISNUMBER(Timeline!$K19),N$4&lt;=Timeline!$K19,EOMONTH(N$4,0)&gt;Timeline!$F19),"P",IF(AND(ISNUMBER(Timeline!$H19),ISNUMBER(Timeline!$K19),NOT(ISNUMBER(Timeline!$F19)),N$4&lt;=Timeline!$K19,EOMONTH(N$4,0)&gt;=Timeline!$H19),"P",IF(AND(ISNUMBER(Timeline!$K19),ISNUMBER(Timeline!$O19),N$4&lt;=Timeline!$O19,EOMONTH(N$4,0)&gt;Timeline!$K19),"S",""))))</f>
        <v>P</v>
      </c>
      <c r="O14" s="17" t="str">
        <f aca="false">IF(AND(ISNUMBER(Timeline!$E19),ISNUMBER(Timeline!$F19),O$4&lt;=Timeline!$F19,EOMONTH(O$4,0)&gt;=Timeline!$E19),"C",IF(AND(ISNUMBER(Timeline!$F19),ISNUMBER(Timeline!$K19),O$4&lt;=Timeline!$K19,EOMONTH(O$4,0)&gt;Timeline!$F19),"P",IF(AND(ISNUMBER(Timeline!$H19),ISNUMBER(Timeline!$K19),NOT(ISNUMBER(Timeline!$F19)),O$4&lt;=Timeline!$K19,EOMONTH(O$4,0)&gt;=Timeline!$H19),"P",IF(AND(ISNUMBER(Timeline!$K19),ISNUMBER(Timeline!$O19),O$4&lt;=Timeline!$O19,EOMONTH(O$4,0)&gt;Timeline!$K19),"S",""))))</f>
        <v>P</v>
      </c>
      <c r="P14" s="17" t="str">
        <f aca="false">IF(AND(ISNUMBER(Timeline!$E19),ISNUMBER(Timeline!$F19),P$4&lt;=Timeline!$F19,EOMONTH(P$4,0)&gt;=Timeline!$E19),"C",IF(AND(ISNUMBER(Timeline!$F19),ISNUMBER(Timeline!$K19),P$4&lt;=Timeline!$K19,EOMONTH(P$4,0)&gt;Timeline!$F19),"P",IF(AND(ISNUMBER(Timeline!$H19),ISNUMBER(Timeline!$K19),NOT(ISNUMBER(Timeline!$F19)),P$4&lt;=Timeline!$K19,EOMONTH(P$4,0)&gt;=Timeline!$H19),"P",IF(AND(ISNUMBER(Timeline!$K19),ISNUMBER(Timeline!$O19),P$4&lt;=Timeline!$O19,EOMONTH(P$4,0)&gt;Timeline!$K19),"S",""))))</f>
        <v>P</v>
      </c>
      <c r="Q14" s="17" t="str">
        <f aca="false">IF(AND(ISNUMBER(Timeline!$E19),ISNUMBER(Timeline!$F19),Q$4&lt;=Timeline!$F19,EOMONTH(Q$4,0)&gt;=Timeline!$E19),"C",IF(AND(ISNUMBER(Timeline!$F19),ISNUMBER(Timeline!$K19),Q$4&lt;=Timeline!$K19,EOMONTH(Q$4,0)&gt;Timeline!$F19),"P",IF(AND(ISNUMBER(Timeline!$H19),ISNUMBER(Timeline!$K19),NOT(ISNUMBER(Timeline!$F19)),Q$4&lt;=Timeline!$K19,EOMONTH(Q$4,0)&gt;=Timeline!$H19),"P",IF(AND(ISNUMBER(Timeline!$K19),ISNUMBER(Timeline!$O19),Q$4&lt;=Timeline!$O19,EOMONTH(Q$4,0)&gt;Timeline!$K19),"S",""))))</f>
        <v>P</v>
      </c>
      <c r="R14" s="17" t="str">
        <f aca="false">IF(AND(ISNUMBER(Timeline!$E19),ISNUMBER(Timeline!$F19),R$4&lt;=Timeline!$F19,EOMONTH(R$4,0)&gt;=Timeline!$E19),"C",IF(AND(ISNUMBER(Timeline!$F19),ISNUMBER(Timeline!$K19),R$4&lt;=Timeline!$K19,EOMONTH(R$4,0)&gt;Timeline!$F19),"P",IF(AND(ISNUMBER(Timeline!$H19),ISNUMBER(Timeline!$K19),NOT(ISNUMBER(Timeline!$F19)),R$4&lt;=Timeline!$K19,EOMONTH(R$4,0)&gt;=Timeline!$H19),"P",IF(AND(ISNUMBER(Timeline!$K19),ISNUMBER(Timeline!$O19),R$4&lt;=Timeline!$O19,EOMONTH(R$4,0)&gt;Timeline!$K19),"S",""))))</f>
        <v>P</v>
      </c>
      <c r="S14" s="17" t="str">
        <f aca="false">IF(AND(ISNUMBER(Timeline!$E19),ISNUMBER(Timeline!$F19),S$4&lt;=Timeline!$F19,EOMONTH(S$4,0)&gt;=Timeline!$E19),"C",IF(AND(ISNUMBER(Timeline!$F19),ISNUMBER(Timeline!$K19),S$4&lt;=Timeline!$K19,EOMONTH(S$4,0)&gt;Timeline!$F19),"P",IF(AND(ISNUMBER(Timeline!$H19),ISNUMBER(Timeline!$K19),NOT(ISNUMBER(Timeline!$F19)),S$4&lt;=Timeline!$K19,EOMONTH(S$4,0)&gt;=Timeline!$H19),"P",IF(AND(ISNUMBER(Timeline!$K19),ISNUMBER(Timeline!$O19),S$4&lt;=Timeline!$O19,EOMONTH(S$4,0)&gt;Timeline!$K19),"S",""))))</f>
        <v>P</v>
      </c>
      <c r="T14" s="17" t="str">
        <f aca="false">IF(AND(ISNUMBER(Timeline!$E19),ISNUMBER(Timeline!$F19),T$4&lt;=Timeline!$F19,EOMONTH(T$4,0)&gt;=Timeline!$E19),"C",IF(AND(ISNUMBER(Timeline!$F19),ISNUMBER(Timeline!$K19),T$4&lt;=Timeline!$K19,EOMONTH(T$4,0)&gt;Timeline!$F19),"P",IF(AND(ISNUMBER(Timeline!$H19),ISNUMBER(Timeline!$K19),NOT(ISNUMBER(Timeline!$F19)),T$4&lt;=Timeline!$K19,EOMONTH(T$4,0)&gt;=Timeline!$H19),"P",IF(AND(ISNUMBER(Timeline!$K19),ISNUMBER(Timeline!$O19),T$4&lt;=Timeline!$O19,EOMONTH(T$4,0)&gt;Timeline!$K19),"S",""))))</f>
        <v>S</v>
      </c>
      <c r="U14" s="17" t="str">
        <f aca="false">IF(AND(ISNUMBER(Timeline!$E19),ISNUMBER(Timeline!$F19),U$4&lt;=Timeline!$F19,EOMONTH(U$4,0)&gt;=Timeline!$E19),"C",IF(AND(ISNUMBER(Timeline!$F19),ISNUMBER(Timeline!$K19),U$4&lt;=Timeline!$K19,EOMONTH(U$4,0)&gt;Timeline!$F19),"P",IF(AND(ISNUMBER(Timeline!$H19),ISNUMBER(Timeline!$K19),NOT(ISNUMBER(Timeline!$F19)),U$4&lt;=Timeline!$K19,EOMONTH(U$4,0)&gt;=Timeline!$H19),"P",IF(AND(ISNUMBER(Timeline!$K19),ISNUMBER(Timeline!$O19),U$4&lt;=Timeline!$O19,EOMONTH(U$4,0)&gt;Timeline!$K19),"S",""))))</f>
        <v>S</v>
      </c>
      <c r="V14" s="17" t="str">
        <f aca="false">IF(AND(ISNUMBER(Timeline!$E19),ISNUMBER(Timeline!$F19),V$4&lt;=Timeline!$F19,EOMONTH(V$4,0)&gt;=Timeline!$E19),"C",IF(AND(ISNUMBER(Timeline!$F19),ISNUMBER(Timeline!$K19),V$4&lt;=Timeline!$K19,EOMONTH(V$4,0)&gt;Timeline!$F19),"P",IF(AND(ISNUMBER(Timeline!$H19),ISNUMBER(Timeline!$K19),NOT(ISNUMBER(Timeline!$F19)),V$4&lt;=Timeline!$K19,EOMONTH(V$4,0)&gt;=Timeline!$H19),"P",IF(AND(ISNUMBER(Timeline!$K19),ISNUMBER(Timeline!$O19),V$4&lt;=Timeline!$O19,EOMONTH(V$4,0)&gt;Timeline!$K19),"S",""))))</f>
        <v>S</v>
      </c>
      <c r="W14" s="17" t="str">
        <f aca="false">IF(AND(ISNUMBER(Timeline!$E19),ISNUMBER(Timeline!$F19),W$4&lt;=Timeline!$F19,EOMONTH(W$4,0)&gt;=Timeline!$E19),"C",IF(AND(ISNUMBER(Timeline!$F19),ISNUMBER(Timeline!$K19),W$4&lt;=Timeline!$K19,EOMONTH(W$4,0)&gt;Timeline!$F19),"P",IF(AND(ISNUMBER(Timeline!$H19),ISNUMBER(Timeline!$K19),NOT(ISNUMBER(Timeline!$F19)),W$4&lt;=Timeline!$K19,EOMONTH(W$4,0)&gt;=Timeline!$H19),"P",IF(AND(ISNUMBER(Timeline!$K19),ISNUMBER(Timeline!$O19),W$4&lt;=Timeline!$O19,EOMONTH(W$4,0)&gt;Timeline!$K19),"S",""))))</f>
        <v>S</v>
      </c>
      <c r="X14" s="17" t="str">
        <f aca="false">IF(AND(ISNUMBER(Timeline!$E19),ISNUMBER(Timeline!$F19),X$4&lt;=Timeline!$F19,EOMONTH(X$4,0)&gt;=Timeline!$E19),"C",IF(AND(ISNUMBER(Timeline!$F19),ISNUMBER(Timeline!$K19),X$4&lt;=Timeline!$K19,EOMONTH(X$4,0)&gt;Timeline!$F19),"P",IF(AND(ISNUMBER(Timeline!$H19),ISNUMBER(Timeline!$K19),NOT(ISNUMBER(Timeline!$F19)),X$4&lt;=Timeline!$K19,EOMONTH(X$4,0)&gt;=Timeline!$H19),"P",IF(AND(ISNUMBER(Timeline!$K19),ISNUMBER(Timeline!$O19),X$4&lt;=Timeline!$O19,EOMONTH(X$4,0)&gt;Timeline!$K19),"S",""))))</f>
        <v/>
      </c>
      <c r="Y14" s="17" t="str">
        <f aca="false">IF(AND(ISNUMBER(Timeline!$E19),ISNUMBER(Timeline!$F19),Y$4&lt;=Timeline!$F19,EOMONTH(Y$4,0)&gt;=Timeline!$E19),"C",IF(AND(ISNUMBER(Timeline!$F19),ISNUMBER(Timeline!$K19),Y$4&lt;=Timeline!$K19,EOMONTH(Y$4,0)&gt;Timeline!$F19),"P",IF(AND(ISNUMBER(Timeline!$H19),ISNUMBER(Timeline!$K19),NOT(ISNUMBER(Timeline!$F19)),Y$4&lt;=Timeline!$K19,EOMONTH(Y$4,0)&gt;=Timeline!$H19),"P",IF(AND(ISNUMBER(Timeline!$K19),ISNUMBER(Timeline!$O19),Y$4&lt;=Timeline!$O19,EOMONTH(Y$4,0)&gt;Timeline!$K19),"S",""))))</f>
        <v/>
      </c>
      <c r="Z14" s="17" t="str">
        <f aca="false">IF(AND(ISNUMBER(Timeline!$E19),ISNUMBER(Timeline!$F19),Z$4&lt;=Timeline!$F19,EOMONTH(Z$4,0)&gt;=Timeline!$E19),"C",IF(AND(ISNUMBER(Timeline!$F19),ISNUMBER(Timeline!$K19),Z$4&lt;=Timeline!$K19,EOMONTH(Z$4,0)&gt;Timeline!$F19),"P",IF(AND(ISNUMBER(Timeline!$H19),ISNUMBER(Timeline!$K19),NOT(ISNUMBER(Timeline!$F19)),Z$4&lt;=Timeline!$K19,EOMONTH(Z$4,0)&gt;=Timeline!$H19),"P",IF(AND(ISNUMBER(Timeline!$K19),ISNUMBER(Timeline!$O19),Z$4&lt;=Timeline!$O19,EOMONTH(Z$4,0)&gt;Timeline!$K19),"S",""))))</f>
        <v/>
      </c>
      <c r="AA14" s="17" t="str">
        <f aca="false">IF(AND(ISNUMBER(Timeline!$E19),ISNUMBER(Timeline!$F19),AA$4&lt;=Timeline!$F19,EOMONTH(AA$4,0)&gt;=Timeline!$E19),"C",IF(AND(ISNUMBER(Timeline!$F19),ISNUMBER(Timeline!$K19),AA$4&lt;=Timeline!$K19,EOMONTH(AA$4,0)&gt;Timeline!$F19),"P",IF(AND(ISNUMBER(Timeline!$H19),ISNUMBER(Timeline!$K19),NOT(ISNUMBER(Timeline!$F19)),AA$4&lt;=Timeline!$K19,EOMONTH(AA$4,0)&gt;=Timeline!$H19),"P",IF(AND(ISNUMBER(Timeline!$K19),ISNUMBER(Timeline!$O19),AA$4&lt;=Timeline!$O19,EOMONTH(AA$4,0)&gt;Timeline!$K19),"S",""))))</f>
        <v/>
      </c>
      <c r="AB14" s="17" t="str">
        <f aca="false">IF(AND(ISNUMBER(Timeline!$E19),ISNUMBER(Timeline!$F19),AB$4&lt;=Timeline!$F19,EOMONTH(AB$4,0)&gt;=Timeline!$E19),"C",IF(AND(ISNUMBER(Timeline!$F19),ISNUMBER(Timeline!$K19),AB$4&lt;=Timeline!$K19,EOMONTH(AB$4,0)&gt;Timeline!$F19),"P",IF(AND(ISNUMBER(Timeline!$H19),ISNUMBER(Timeline!$K19),NOT(ISNUMBER(Timeline!$F19)),AB$4&lt;=Timeline!$K19,EOMONTH(AB$4,0)&gt;=Timeline!$H19),"P",IF(AND(ISNUMBER(Timeline!$K19),ISNUMBER(Timeline!$O19),AB$4&lt;=Timeline!$O19,EOMONTH(AB$4,0)&gt;Timeline!$K19),"S",""))))</f>
        <v/>
      </c>
      <c r="AC14" s="17" t="str">
        <f aca="false">IF(AND(ISNUMBER(Timeline!$E19),ISNUMBER(Timeline!$F19),AC$4&lt;=Timeline!$F19,EOMONTH(AC$4,0)&gt;=Timeline!$E19),"C",IF(AND(ISNUMBER(Timeline!$F19),ISNUMBER(Timeline!$K19),AC$4&lt;=Timeline!$K19,EOMONTH(AC$4,0)&gt;Timeline!$F19),"P",IF(AND(ISNUMBER(Timeline!$H19),ISNUMBER(Timeline!$K19),NOT(ISNUMBER(Timeline!$F19)),AC$4&lt;=Timeline!$K19,EOMONTH(AC$4,0)&gt;=Timeline!$H19),"P",IF(AND(ISNUMBER(Timeline!$K19),ISNUMBER(Timeline!$O19),AC$4&lt;=Timeline!$O19,EOMONTH(AC$4,0)&gt;Timeline!$K19),"S",""))))</f>
        <v/>
      </c>
      <c r="AD14" s="17" t="str">
        <f aca="false">IF(AND(ISNUMBER(Timeline!$E19),ISNUMBER(Timeline!$F19),AD$4&lt;=Timeline!$F19,EOMONTH(AD$4,0)&gt;=Timeline!$E19),"C",IF(AND(ISNUMBER(Timeline!$F19),ISNUMBER(Timeline!$K19),AD$4&lt;=Timeline!$K19,EOMONTH(AD$4,0)&gt;Timeline!$F19),"P",IF(AND(ISNUMBER(Timeline!$H19),ISNUMBER(Timeline!$K19),NOT(ISNUMBER(Timeline!$F19)),AD$4&lt;=Timeline!$K19,EOMONTH(AD$4,0)&gt;=Timeline!$H19),"P",IF(AND(ISNUMBER(Timeline!$K19),ISNUMBER(Timeline!$O19),AD$4&lt;=Timeline!$O19,EOMONTH(AD$4,0)&gt;Timeline!$K19),"S",""))))</f>
        <v/>
      </c>
      <c r="AE14" s="17" t="str">
        <f aca="false">IF(AND(ISNUMBER(Timeline!$E19),ISNUMBER(Timeline!$F19),AE$4&lt;=Timeline!$F19,EOMONTH(AE$4,0)&gt;=Timeline!$E19),"C",IF(AND(ISNUMBER(Timeline!$F19),ISNUMBER(Timeline!$K19),AE$4&lt;=Timeline!$K19,EOMONTH(AE$4,0)&gt;Timeline!$F19),"P",IF(AND(ISNUMBER(Timeline!$H19),ISNUMBER(Timeline!$K19),NOT(ISNUMBER(Timeline!$F19)),AE$4&lt;=Timeline!$K19,EOMONTH(AE$4,0)&gt;=Timeline!$H19),"P",IF(AND(ISNUMBER(Timeline!$K19),ISNUMBER(Timeline!$O19),AE$4&lt;=Timeline!$O19,EOMONTH(AE$4,0)&gt;Timeline!$K19),"S",""))))</f>
        <v/>
      </c>
      <c r="AF14" s="17" t="str">
        <f aca="false">IF(AND(ISNUMBER(Timeline!$E19),ISNUMBER(Timeline!$F19),AF$4&lt;=Timeline!$F19,EOMONTH(AF$4,0)&gt;=Timeline!$E19),"C",IF(AND(ISNUMBER(Timeline!$F19),ISNUMBER(Timeline!$K19),AF$4&lt;=Timeline!$K19,EOMONTH(AF$4,0)&gt;Timeline!$F19),"P",IF(AND(ISNUMBER(Timeline!$H19),ISNUMBER(Timeline!$K19),NOT(ISNUMBER(Timeline!$F19)),AF$4&lt;=Timeline!$K19,EOMONTH(AF$4,0)&gt;=Timeline!$H19),"P",IF(AND(ISNUMBER(Timeline!$K19),ISNUMBER(Timeline!$O19),AF$4&lt;=Timeline!$O19,EOMONTH(AF$4,0)&gt;Timeline!$K19),"S",""))))</f>
        <v/>
      </c>
      <c r="AG14" s="17" t="str">
        <f aca="false">IF(AND(ISNUMBER(Timeline!$E19),ISNUMBER(Timeline!$F19),AG$4&lt;=Timeline!$F19,EOMONTH(AG$4,0)&gt;=Timeline!$E19),"C",IF(AND(ISNUMBER(Timeline!$F19),ISNUMBER(Timeline!$K19),AG$4&lt;=Timeline!$K19,EOMONTH(AG$4,0)&gt;Timeline!$F19),"P",IF(AND(ISNUMBER(Timeline!$H19),ISNUMBER(Timeline!$K19),NOT(ISNUMBER(Timeline!$F19)),AG$4&lt;=Timeline!$K19,EOMONTH(AG$4,0)&gt;=Timeline!$H19),"P",IF(AND(ISNUMBER(Timeline!$K19),ISNUMBER(Timeline!$O19),AG$4&lt;=Timeline!$O19,EOMONTH(AG$4,0)&gt;Timeline!$K19),"S",""))))</f>
        <v/>
      </c>
      <c r="AH14" s="17" t="str">
        <f aca="false">IF(AND(ISNUMBER(Timeline!$E19),ISNUMBER(Timeline!$F19),AH$4&lt;=Timeline!$F19,EOMONTH(AH$4,0)&gt;=Timeline!$E19),"C",IF(AND(ISNUMBER(Timeline!$F19),ISNUMBER(Timeline!$K19),AH$4&lt;=Timeline!$K19,EOMONTH(AH$4,0)&gt;Timeline!$F19),"P",IF(AND(ISNUMBER(Timeline!$H19),ISNUMBER(Timeline!$K19),NOT(ISNUMBER(Timeline!$F19)),AH$4&lt;=Timeline!$K19,EOMONTH(AH$4,0)&gt;=Timeline!$H19),"P",IF(AND(ISNUMBER(Timeline!$K19),ISNUMBER(Timeline!$O19),AH$4&lt;=Timeline!$O19,EOMONTH(AH$4,0)&gt;Timeline!$K19),"S",""))))</f>
        <v/>
      </c>
    </row>
    <row r="15" customFormat="false" ht="15" hidden="false" customHeight="false" outlineLevel="0" collapsed="false">
      <c r="A15" s="5" t="n">
        <v>11</v>
      </c>
      <c r="B15" s="16" t="s">
        <v>57</v>
      </c>
      <c r="C15" s="16" t="s">
        <v>55</v>
      </c>
      <c r="D15" s="17" t="str">
        <f aca="false">IF(AND(ISNUMBER(Timeline!$E20),ISNUMBER(Timeline!$F20),D$4&lt;=Timeline!$F20,EOMONTH(D$4,0)&gt;=Timeline!$E20),"C",IF(AND(ISNUMBER(Timeline!$F20),ISNUMBER(Timeline!$K20),D$4&lt;=Timeline!$K20,EOMONTH(D$4,0)&gt;Timeline!$F20),"P",IF(AND(ISNUMBER(Timeline!$H20),ISNUMBER(Timeline!$K20),NOT(ISNUMBER(Timeline!$F20)),D$4&lt;=Timeline!$K20,EOMONTH(D$4,0)&gt;=Timeline!$H20),"P",IF(AND(ISNUMBER(Timeline!$K20),ISNUMBER(Timeline!$O20),D$4&lt;=Timeline!$O20,EOMONTH(D$4,0)&gt;Timeline!$K20),"S",""))))</f>
        <v/>
      </c>
      <c r="E15" s="17" t="str">
        <f aca="false">IF(AND(ISNUMBER(Timeline!$E20),ISNUMBER(Timeline!$F20),E$4&lt;=Timeline!$F20,EOMONTH(E$4,0)&gt;=Timeline!$E20),"C",IF(AND(ISNUMBER(Timeline!$F20),ISNUMBER(Timeline!$K20),E$4&lt;=Timeline!$K20,EOMONTH(E$4,0)&gt;Timeline!$F20),"P",IF(AND(ISNUMBER(Timeline!$H20),ISNUMBER(Timeline!$K20),NOT(ISNUMBER(Timeline!$F20)),E$4&lt;=Timeline!$K20,EOMONTH(E$4,0)&gt;=Timeline!$H20),"P",IF(AND(ISNUMBER(Timeline!$K20),ISNUMBER(Timeline!$O20),E$4&lt;=Timeline!$O20,EOMONTH(E$4,0)&gt;Timeline!$K20),"S",""))))</f>
        <v/>
      </c>
      <c r="F15" s="17" t="str">
        <f aca="false">IF(AND(ISNUMBER(Timeline!$E20),ISNUMBER(Timeline!$F20),F$4&lt;=Timeline!$F20,EOMONTH(F$4,0)&gt;=Timeline!$E20),"C",IF(AND(ISNUMBER(Timeline!$F20),ISNUMBER(Timeline!$K20),F$4&lt;=Timeline!$K20,EOMONTH(F$4,0)&gt;Timeline!$F20),"P",IF(AND(ISNUMBER(Timeline!$H20),ISNUMBER(Timeline!$K20),NOT(ISNUMBER(Timeline!$F20)),F$4&lt;=Timeline!$K20,EOMONTH(F$4,0)&gt;=Timeline!$H20),"P",IF(AND(ISNUMBER(Timeline!$K20),ISNUMBER(Timeline!$O20),F$4&lt;=Timeline!$O20,EOMONTH(F$4,0)&gt;Timeline!$K20),"S",""))))</f>
        <v/>
      </c>
      <c r="G15" s="17" t="str">
        <f aca="false">IF(AND(ISNUMBER(Timeline!$E20),ISNUMBER(Timeline!$F20),G$4&lt;=Timeline!$F20,EOMONTH(G$4,0)&gt;=Timeline!$E20),"C",IF(AND(ISNUMBER(Timeline!$F20),ISNUMBER(Timeline!$K20),G$4&lt;=Timeline!$K20,EOMONTH(G$4,0)&gt;Timeline!$F20),"P",IF(AND(ISNUMBER(Timeline!$H20),ISNUMBER(Timeline!$K20),NOT(ISNUMBER(Timeline!$F20)),G$4&lt;=Timeline!$K20,EOMONTH(G$4,0)&gt;=Timeline!$H20),"P",IF(AND(ISNUMBER(Timeline!$K20),ISNUMBER(Timeline!$O20),G$4&lt;=Timeline!$O20,EOMONTH(G$4,0)&gt;Timeline!$K20),"S",""))))</f>
        <v/>
      </c>
      <c r="H15" s="17" t="str">
        <f aca="false">IF(AND(ISNUMBER(Timeline!$E20),ISNUMBER(Timeline!$F20),H$4&lt;=Timeline!$F20,EOMONTH(H$4,0)&gt;=Timeline!$E20),"C",IF(AND(ISNUMBER(Timeline!$F20),ISNUMBER(Timeline!$K20),H$4&lt;=Timeline!$K20,EOMONTH(H$4,0)&gt;Timeline!$F20),"P",IF(AND(ISNUMBER(Timeline!$H20),ISNUMBER(Timeline!$K20),NOT(ISNUMBER(Timeline!$F20)),H$4&lt;=Timeline!$K20,EOMONTH(H$4,0)&gt;=Timeline!$H20),"P",IF(AND(ISNUMBER(Timeline!$K20),ISNUMBER(Timeline!$O20),H$4&lt;=Timeline!$O20,EOMONTH(H$4,0)&gt;Timeline!$K20),"S",""))))</f>
        <v>C</v>
      </c>
      <c r="I15" s="17" t="str">
        <f aca="false">IF(AND(ISNUMBER(Timeline!$E20),ISNUMBER(Timeline!$F20),I$4&lt;=Timeline!$F20,EOMONTH(I$4,0)&gt;=Timeline!$E20),"C",IF(AND(ISNUMBER(Timeline!$F20),ISNUMBER(Timeline!$K20),I$4&lt;=Timeline!$K20,EOMONTH(I$4,0)&gt;Timeline!$F20),"P",IF(AND(ISNUMBER(Timeline!$H20),ISNUMBER(Timeline!$K20),NOT(ISNUMBER(Timeline!$F20)),I$4&lt;=Timeline!$K20,EOMONTH(I$4,0)&gt;=Timeline!$H20),"P",IF(AND(ISNUMBER(Timeline!$K20),ISNUMBER(Timeline!$O20),I$4&lt;=Timeline!$O20,EOMONTH(I$4,0)&gt;Timeline!$K20),"S",""))))</f>
        <v>C</v>
      </c>
      <c r="J15" s="17" t="str">
        <f aca="false">IF(AND(ISNUMBER(Timeline!$E20),ISNUMBER(Timeline!$F20),J$4&lt;=Timeline!$F20,EOMONTH(J$4,0)&gt;=Timeline!$E20),"C",IF(AND(ISNUMBER(Timeline!$F20),ISNUMBER(Timeline!$K20),J$4&lt;=Timeline!$K20,EOMONTH(J$4,0)&gt;Timeline!$F20),"P",IF(AND(ISNUMBER(Timeline!$H20),ISNUMBER(Timeline!$K20),NOT(ISNUMBER(Timeline!$F20)),J$4&lt;=Timeline!$K20,EOMONTH(J$4,0)&gt;=Timeline!$H20),"P",IF(AND(ISNUMBER(Timeline!$K20),ISNUMBER(Timeline!$O20),J$4&lt;=Timeline!$O20,EOMONTH(J$4,0)&gt;Timeline!$K20),"S",""))))</f>
        <v>C</v>
      </c>
      <c r="K15" s="17" t="str">
        <f aca="false">IF(AND(ISNUMBER(Timeline!$E20),ISNUMBER(Timeline!$F20),K$4&lt;=Timeline!$F20,EOMONTH(K$4,0)&gt;=Timeline!$E20),"C",IF(AND(ISNUMBER(Timeline!$F20),ISNUMBER(Timeline!$K20),K$4&lt;=Timeline!$K20,EOMONTH(K$4,0)&gt;Timeline!$F20),"P",IF(AND(ISNUMBER(Timeline!$H20),ISNUMBER(Timeline!$K20),NOT(ISNUMBER(Timeline!$F20)),K$4&lt;=Timeline!$K20,EOMONTH(K$4,0)&gt;=Timeline!$H20),"P",IF(AND(ISNUMBER(Timeline!$K20),ISNUMBER(Timeline!$O20),K$4&lt;=Timeline!$O20,EOMONTH(K$4,0)&gt;Timeline!$K20),"S",""))))</f>
        <v>C</v>
      </c>
      <c r="L15" s="17" t="str">
        <f aca="false">IF(AND(ISNUMBER(Timeline!$E20),ISNUMBER(Timeline!$F20),L$4&lt;=Timeline!$F20,EOMONTH(L$4,0)&gt;=Timeline!$E20),"C",IF(AND(ISNUMBER(Timeline!$F20),ISNUMBER(Timeline!$K20),L$4&lt;=Timeline!$K20,EOMONTH(L$4,0)&gt;Timeline!$F20),"P",IF(AND(ISNUMBER(Timeline!$H20),ISNUMBER(Timeline!$K20),NOT(ISNUMBER(Timeline!$F20)),L$4&lt;=Timeline!$K20,EOMONTH(L$4,0)&gt;=Timeline!$H20),"P",IF(AND(ISNUMBER(Timeline!$K20),ISNUMBER(Timeline!$O20),L$4&lt;=Timeline!$O20,EOMONTH(L$4,0)&gt;Timeline!$K20),"S",""))))</f>
        <v>P</v>
      </c>
      <c r="M15" s="17" t="str">
        <f aca="false">IF(AND(ISNUMBER(Timeline!$E20),ISNUMBER(Timeline!$F20),M$4&lt;=Timeline!$F20,EOMONTH(M$4,0)&gt;=Timeline!$E20),"C",IF(AND(ISNUMBER(Timeline!$F20),ISNUMBER(Timeline!$K20),M$4&lt;=Timeline!$K20,EOMONTH(M$4,0)&gt;Timeline!$F20),"P",IF(AND(ISNUMBER(Timeline!$H20),ISNUMBER(Timeline!$K20),NOT(ISNUMBER(Timeline!$F20)),M$4&lt;=Timeline!$K20,EOMONTH(M$4,0)&gt;=Timeline!$H20),"P",IF(AND(ISNUMBER(Timeline!$K20),ISNUMBER(Timeline!$O20),M$4&lt;=Timeline!$O20,EOMONTH(M$4,0)&gt;Timeline!$K20),"S",""))))</f>
        <v>P</v>
      </c>
      <c r="N15" s="17" t="str">
        <f aca="false">IF(AND(ISNUMBER(Timeline!$E20),ISNUMBER(Timeline!$F20),N$4&lt;=Timeline!$F20,EOMONTH(N$4,0)&gt;=Timeline!$E20),"C",IF(AND(ISNUMBER(Timeline!$F20),ISNUMBER(Timeline!$K20),N$4&lt;=Timeline!$K20,EOMONTH(N$4,0)&gt;Timeline!$F20),"P",IF(AND(ISNUMBER(Timeline!$H20),ISNUMBER(Timeline!$K20),NOT(ISNUMBER(Timeline!$F20)),N$4&lt;=Timeline!$K20,EOMONTH(N$4,0)&gt;=Timeline!$H20),"P",IF(AND(ISNUMBER(Timeline!$K20),ISNUMBER(Timeline!$O20),N$4&lt;=Timeline!$O20,EOMONTH(N$4,0)&gt;Timeline!$K20),"S",""))))</f>
        <v>P</v>
      </c>
      <c r="O15" s="17" t="str">
        <f aca="false">IF(AND(ISNUMBER(Timeline!$E20),ISNUMBER(Timeline!$F20),O$4&lt;=Timeline!$F20,EOMONTH(O$4,0)&gt;=Timeline!$E20),"C",IF(AND(ISNUMBER(Timeline!$F20),ISNUMBER(Timeline!$K20),O$4&lt;=Timeline!$K20,EOMONTH(O$4,0)&gt;Timeline!$F20),"P",IF(AND(ISNUMBER(Timeline!$H20),ISNUMBER(Timeline!$K20),NOT(ISNUMBER(Timeline!$F20)),O$4&lt;=Timeline!$K20,EOMONTH(O$4,0)&gt;=Timeline!$H20),"P",IF(AND(ISNUMBER(Timeline!$K20),ISNUMBER(Timeline!$O20),O$4&lt;=Timeline!$O20,EOMONTH(O$4,0)&gt;Timeline!$K20),"S",""))))</f>
        <v>P</v>
      </c>
      <c r="P15" s="17" t="str">
        <f aca="false">IF(AND(ISNUMBER(Timeline!$E20),ISNUMBER(Timeline!$F20),P$4&lt;=Timeline!$F20,EOMONTH(P$4,0)&gt;=Timeline!$E20),"C",IF(AND(ISNUMBER(Timeline!$F20),ISNUMBER(Timeline!$K20),P$4&lt;=Timeline!$K20,EOMONTH(P$4,0)&gt;Timeline!$F20),"P",IF(AND(ISNUMBER(Timeline!$H20),ISNUMBER(Timeline!$K20),NOT(ISNUMBER(Timeline!$F20)),P$4&lt;=Timeline!$K20,EOMONTH(P$4,0)&gt;=Timeline!$H20),"P",IF(AND(ISNUMBER(Timeline!$K20),ISNUMBER(Timeline!$O20),P$4&lt;=Timeline!$O20,EOMONTH(P$4,0)&gt;Timeline!$K20),"S",""))))</f>
        <v>P</v>
      </c>
      <c r="Q15" s="17" t="str">
        <f aca="false">IF(AND(ISNUMBER(Timeline!$E20),ISNUMBER(Timeline!$F20),Q$4&lt;=Timeline!$F20,EOMONTH(Q$4,0)&gt;=Timeline!$E20),"C",IF(AND(ISNUMBER(Timeline!$F20),ISNUMBER(Timeline!$K20),Q$4&lt;=Timeline!$K20,EOMONTH(Q$4,0)&gt;Timeline!$F20),"P",IF(AND(ISNUMBER(Timeline!$H20),ISNUMBER(Timeline!$K20),NOT(ISNUMBER(Timeline!$F20)),Q$4&lt;=Timeline!$K20,EOMONTH(Q$4,0)&gt;=Timeline!$H20),"P",IF(AND(ISNUMBER(Timeline!$K20),ISNUMBER(Timeline!$O20),Q$4&lt;=Timeline!$O20,EOMONTH(Q$4,0)&gt;Timeline!$K20),"S",""))))</f>
        <v>P</v>
      </c>
      <c r="R15" s="17" t="str">
        <f aca="false">IF(AND(ISNUMBER(Timeline!$E20),ISNUMBER(Timeline!$F20),R$4&lt;=Timeline!$F20,EOMONTH(R$4,0)&gt;=Timeline!$E20),"C",IF(AND(ISNUMBER(Timeline!$F20),ISNUMBER(Timeline!$K20),R$4&lt;=Timeline!$K20,EOMONTH(R$4,0)&gt;Timeline!$F20),"P",IF(AND(ISNUMBER(Timeline!$H20),ISNUMBER(Timeline!$K20),NOT(ISNUMBER(Timeline!$F20)),R$4&lt;=Timeline!$K20,EOMONTH(R$4,0)&gt;=Timeline!$H20),"P",IF(AND(ISNUMBER(Timeline!$K20),ISNUMBER(Timeline!$O20),R$4&lt;=Timeline!$O20,EOMONTH(R$4,0)&gt;Timeline!$K20),"S",""))))</f>
        <v>P</v>
      </c>
      <c r="S15" s="17" t="str">
        <f aca="false">IF(AND(ISNUMBER(Timeline!$E20),ISNUMBER(Timeline!$F20),S$4&lt;=Timeline!$F20,EOMONTH(S$4,0)&gt;=Timeline!$E20),"C",IF(AND(ISNUMBER(Timeline!$F20),ISNUMBER(Timeline!$K20),S$4&lt;=Timeline!$K20,EOMONTH(S$4,0)&gt;Timeline!$F20),"P",IF(AND(ISNUMBER(Timeline!$H20),ISNUMBER(Timeline!$K20),NOT(ISNUMBER(Timeline!$F20)),S$4&lt;=Timeline!$K20,EOMONTH(S$4,0)&gt;=Timeline!$H20),"P",IF(AND(ISNUMBER(Timeline!$K20),ISNUMBER(Timeline!$O20),S$4&lt;=Timeline!$O20,EOMONTH(S$4,0)&gt;Timeline!$K20),"S",""))))</f>
        <v>P</v>
      </c>
      <c r="T15" s="17" t="str">
        <f aca="false">IF(AND(ISNUMBER(Timeline!$E20),ISNUMBER(Timeline!$F20),T$4&lt;=Timeline!$F20,EOMONTH(T$4,0)&gt;=Timeline!$E20),"C",IF(AND(ISNUMBER(Timeline!$F20),ISNUMBER(Timeline!$K20),T$4&lt;=Timeline!$K20,EOMONTH(T$4,0)&gt;Timeline!$F20),"P",IF(AND(ISNUMBER(Timeline!$H20),ISNUMBER(Timeline!$K20),NOT(ISNUMBER(Timeline!$F20)),T$4&lt;=Timeline!$K20,EOMONTH(T$4,0)&gt;=Timeline!$H20),"P",IF(AND(ISNUMBER(Timeline!$K20),ISNUMBER(Timeline!$O20),T$4&lt;=Timeline!$O20,EOMONTH(T$4,0)&gt;Timeline!$K20),"S",""))))</f>
        <v>P</v>
      </c>
      <c r="U15" s="17" t="str">
        <f aca="false">IF(AND(ISNUMBER(Timeline!$E20),ISNUMBER(Timeline!$F20),U$4&lt;=Timeline!$F20,EOMONTH(U$4,0)&gt;=Timeline!$E20),"C",IF(AND(ISNUMBER(Timeline!$F20),ISNUMBER(Timeline!$K20),U$4&lt;=Timeline!$K20,EOMONTH(U$4,0)&gt;Timeline!$F20),"P",IF(AND(ISNUMBER(Timeline!$H20),ISNUMBER(Timeline!$K20),NOT(ISNUMBER(Timeline!$F20)),U$4&lt;=Timeline!$K20,EOMONTH(U$4,0)&gt;=Timeline!$H20),"P",IF(AND(ISNUMBER(Timeline!$K20),ISNUMBER(Timeline!$O20),U$4&lt;=Timeline!$O20,EOMONTH(U$4,0)&gt;Timeline!$K20),"S",""))))</f>
        <v>P</v>
      </c>
      <c r="V15" s="17" t="str">
        <f aca="false">IF(AND(ISNUMBER(Timeline!$E20),ISNUMBER(Timeline!$F20),V$4&lt;=Timeline!$F20,EOMONTH(V$4,0)&gt;=Timeline!$E20),"C",IF(AND(ISNUMBER(Timeline!$F20),ISNUMBER(Timeline!$K20),V$4&lt;=Timeline!$K20,EOMONTH(V$4,0)&gt;Timeline!$F20),"P",IF(AND(ISNUMBER(Timeline!$H20),ISNUMBER(Timeline!$K20),NOT(ISNUMBER(Timeline!$F20)),V$4&lt;=Timeline!$K20,EOMONTH(V$4,0)&gt;=Timeline!$H20),"P",IF(AND(ISNUMBER(Timeline!$K20),ISNUMBER(Timeline!$O20),V$4&lt;=Timeline!$O20,EOMONTH(V$4,0)&gt;Timeline!$K20),"S",""))))</f>
        <v>P</v>
      </c>
      <c r="W15" s="17" t="str">
        <f aca="false">IF(AND(ISNUMBER(Timeline!$E20),ISNUMBER(Timeline!$F20),W$4&lt;=Timeline!$F20,EOMONTH(W$4,0)&gt;=Timeline!$E20),"C",IF(AND(ISNUMBER(Timeline!$F20),ISNUMBER(Timeline!$K20),W$4&lt;=Timeline!$K20,EOMONTH(W$4,0)&gt;Timeline!$F20),"P",IF(AND(ISNUMBER(Timeline!$H20),ISNUMBER(Timeline!$K20),NOT(ISNUMBER(Timeline!$F20)),W$4&lt;=Timeline!$K20,EOMONTH(W$4,0)&gt;=Timeline!$H20),"P",IF(AND(ISNUMBER(Timeline!$K20),ISNUMBER(Timeline!$O20),W$4&lt;=Timeline!$O20,EOMONTH(W$4,0)&gt;Timeline!$K20),"S",""))))</f>
        <v>P</v>
      </c>
      <c r="X15" s="17" t="str">
        <f aca="false">IF(AND(ISNUMBER(Timeline!$E20),ISNUMBER(Timeline!$F20),X$4&lt;=Timeline!$F20,EOMONTH(X$4,0)&gt;=Timeline!$E20),"C",IF(AND(ISNUMBER(Timeline!$F20),ISNUMBER(Timeline!$K20),X$4&lt;=Timeline!$K20,EOMONTH(X$4,0)&gt;Timeline!$F20),"P",IF(AND(ISNUMBER(Timeline!$H20),ISNUMBER(Timeline!$K20),NOT(ISNUMBER(Timeline!$F20)),X$4&lt;=Timeline!$K20,EOMONTH(X$4,0)&gt;=Timeline!$H20),"P",IF(AND(ISNUMBER(Timeline!$K20),ISNUMBER(Timeline!$O20),X$4&lt;=Timeline!$O20,EOMONTH(X$4,0)&gt;Timeline!$K20),"S",""))))</f>
        <v/>
      </c>
      <c r="Y15" s="17" t="str">
        <f aca="false">IF(AND(ISNUMBER(Timeline!$E20),ISNUMBER(Timeline!$F20),Y$4&lt;=Timeline!$F20,EOMONTH(Y$4,0)&gt;=Timeline!$E20),"C",IF(AND(ISNUMBER(Timeline!$F20),ISNUMBER(Timeline!$K20),Y$4&lt;=Timeline!$K20,EOMONTH(Y$4,0)&gt;Timeline!$F20),"P",IF(AND(ISNUMBER(Timeline!$H20),ISNUMBER(Timeline!$K20),NOT(ISNUMBER(Timeline!$F20)),Y$4&lt;=Timeline!$K20,EOMONTH(Y$4,0)&gt;=Timeline!$H20),"P",IF(AND(ISNUMBER(Timeline!$K20),ISNUMBER(Timeline!$O20),Y$4&lt;=Timeline!$O20,EOMONTH(Y$4,0)&gt;Timeline!$K20),"S",""))))</f>
        <v/>
      </c>
      <c r="Z15" s="17" t="str">
        <f aca="false">IF(AND(ISNUMBER(Timeline!$E20),ISNUMBER(Timeline!$F20),Z$4&lt;=Timeline!$F20,EOMONTH(Z$4,0)&gt;=Timeline!$E20),"C",IF(AND(ISNUMBER(Timeline!$F20),ISNUMBER(Timeline!$K20),Z$4&lt;=Timeline!$K20,EOMONTH(Z$4,0)&gt;Timeline!$F20),"P",IF(AND(ISNUMBER(Timeline!$H20),ISNUMBER(Timeline!$K20),NOT(ISNUMBER(Timeline!$F20)),Z$4&lt;=Timeline!$K20,EOMONTH(Z$4,0)&gt;=Timeline!$H20),"P",IF(AND(ISNUMBER(Timeline!$K20),ISNUMBER(Timeline!$O20),Z$4&lt;=Timeline!$O20,EOMONTH(Z$4,0)&gt;Timeline!$K20),"S",""))))</f>
        <v/>
      </c>
      <c r="AA15" s="17" t="str">
        <f aca="false">IF(AND(ISNUMBER(Timeline!$E20),ISNUMBER(Timeline!$F20),AA$4&lt;=Timeline!$F20,EOMONTH(AA$4,0)&gt;=Timeline!$E20),"C",IF(AND(ISNUMBER(Timeline!$F20),ISNUMBER(Timeline!$K20),AA$4&lt;=Timeline!$K20,EOMONTH(AA$4,0)&gt;Timeline!$F20),"P",IF(AND(ISNUMBER(Timeline!$H20),ISNUMBER(Timeline!$K20),NOT(ISNUMBER(Timeline!$F20)),AA$4&lt;=Timeline!$K20,EOMONTH(AA$4,0)&gt;=Timeline!$H20),"P",IF(AND(ISNUMBER(Timeline!$K20),ISNUMBER(Timeline!$O20),AA$4&lt;=Timeline!$O20,EOMONTH(AA$4,0)&gt;Timeline!$K20),"S",""))))</f>
        <v/>
      </c>
      <c r="AB15" s="17" t="str">
        <f aca="false">IF(AND(ISNUMBER(Timeline!$E20),ISNUMBER(Timeline!$F20),AB$4&lt;=Timeline!$F20,EOMONTH(AB$4,0)&gt;=Timeline!$E20),"C",IF(AND(ISNUMBER(Timeline!$F20),ISNUMBER(Timeline!$K20),AB$4&lt;=Timeline!$K20,EOMONTH(AB$4,0)&gt;Timeline!$F20),"P",IF(AND(ISNUMBER(Timeline!$H20),ISNUMBER(Timeline!$K20),NOT(ISNUMBER(Timeline!$F20)),AB$4&lt;=Timeline!$K20,EOMONTH(AB$4,0)&gt;=Timeline!$H20),"P",IF(AND(ISNUMBER(Timeline!$K20),ISNUMBER(Timeline!$O20),AB$4&lt;=Timeline!$O20,EOMONTH(AB$4,0)&gt;Timeline!$K20),"S",""))))</f>
        <v/>
      </c>
      <c r="AC15" s="17" t="str">
        <f aca="false">IF(AND(ISNUMBER(Timeline!$E20),ISNUMBER(Timeline!$F20),AC$4&lt;=Timeline!$F20,EOMONTH(AC$4,0)&gt;=Timeline!$E20),"C",IF(AND(ISNUMBER(Timeline!$F20),ISNUMBER(Timeline!$K20),AC$4&lt;=Timeline!$K20,EOMONTH(AC$4,0)&gt;Timeline!$F20),"P",IF(AND(ISNUMBER(Timeline!$H20),ISNUMBER(Timeline!$K20),NOT(ISNUMBER(Timeline!$F20)),AC$4&lt;=Timeline!$K20,EOMONTH(AC$4,0)&gt;=Timeline!$H20),"P",IF(AND(ISNUMBER(Timeline!$K20),ISNUMBER(Timeline!$O20),AC$4&lt;=Timeline!$O20,EOMONTH(AC$4,0)&gt;Timeline!$K20),"S",""))))</f>
        <v/>
      </c>
      <c r="AD15" s="17" t="str">
        <f aca="false">IF(AND(ISNUMBER(Timeline!$E20),ISNUMBER(Timeline!$F20),AD$4&lt;=Timeline!$F20,EOMONTH(AD$4,0)&gt;=Timeline!$E20),"C",IF(AND(ISNUMBER(Timeline!$F20),ISNUMBER(Timeline!$K20),AD$4&lt;=Timeline!$K20,EOMONTH(AD$4,0)&gt;Timeline!$F20),"P",IF(AND(ISNUMBER(Timeline!$H20),ISNUMBER(Timeline!$K20),NOT(ISNUMBER(Timeline!$F20)),AD$4&lt;=Timeline!$K20,EOMONTH(AD$4,0)&gt;=Timeline!$H20),"P",IF(AND(ISNUMBER(Timeline!$K20),ISNUMBER(Timeline!$O20),AD$4&lt;=Timeline!$O20,EOMONTH(AD$4,0)&gt;Timeline!$K20),"S",""))))</f>
        <v/>
      </c>
      <c r="AE15" s="17" t="str">
        <f aca="false">IF(AND(ISNUMBER(Timeline!$E20),ISNUMBER(Timeline!$F20),AE$4&lt;=Timeline!$F20,EOMONTH(AE$4,0)&gt;=Timeline!$E20),"C",IF(AND(ISNUMBER(Timeline!$F20),ISNUMBER(Timeline!$K20),AE$4&lt;=Timeline!$K20,EOMONTH(AE$4,0)&gt;Timeline!$F20),"P",IF(AND(ISNUMBER(Timeline!$H20),ISNUMBER(Timeline!$K20),NOT(ISNUMBER(Timeline!$F20)),AE$4&lt;=Timeline!$K20,EOMONTH(AE$4,0)&gt;=Timeline!$H20),"P",IF(AND(ISNUMBER(Timeline!$K20),ISNUMBER(Timeline!$O20),AE$4&lt;=Timeline!$O20,EOMONTH(AE$4,0)&gt;Timeline!$K20),"S",""))))</f>
        <v/>
      </c>
      <c r="AF15" s="17" t="str">
        <f aca="false">IF(AND(ISNUMBER(Timeline!$E20),ISNUMBER(Timeline!$F20),AF$4&lt;=Timeline!$F20,EOMONTH(AF$4,0)&gt;=Timeline!$E20),"C",IF(AND(ISNUMBER(Timeline!$F20),ISNUMBER(Timeline!$K20),AF$4&lt;=Timeline!$K20,EOMONTH(AF$4,0)&gt;Timeline!$F20),"P",IF(AND(ISNUMBER(Timeline!$H20),ISNUMBER(Timeline!$K20),NOT(ISNUMBER(Timeline!$F20)),AF$4&lt;=Timeline!$K20,EOMONTH(AF$4,0)&gt;=Timeline!$H20),"P",IF(AND(ISNUMBER(Timeline!$K20),ISNUMBER(Timeline!$O20),AF$4&lt;=Timeline!$O20,EOMONTH(AF$4,0)&gt;Timeline!$K20),"S",""))))</f>
        <v/>
      </c>
      <c r="AG15" s="17" t="str">
        <f aca="false">IF(AND(ISNUMBER(Timeline!$E20),ISNUMBER(Timeline!$F20),AG$4&lt;=Timeline!$F20,EOMONTH(AG$4,0)&gt;=Timeline!$E20),"C",IF(AND(ISNUMBER(Timeline!$F20),ISNUMBER(Timeline!$K20),AG$4&lt;=Timeline!$K20,EOMONTH(AG$4,0)&gt;Timeline!$F20),"P",IF(AND(ISNUMBER(Timeline!$H20),ISNUMBER(Timeline!$K20),NOT(ISNUMBER(Timeline!$F20)),AG$4&lt;=Timeline!$K20,EOMONTH(AG$4,0)&gt;=Timeline!$H20),"P",IF(AND(ISNUMBER(Timeline!$K20),ISNUMBER(Timeline!$O20),AG$4&lt;=Timeline!$O20,EOMONTH(AG$4,0)&gt;Timeline!$K20),"S",""))))</f>
        <v/>
      </c>
      <c r="AH15" s="17" t="str">
        <f aca="false">IF(AND(ISNUMBER(Timeline!$E20),ISNUMBER(Timeline!$F20),AH$4&lt;=Timeline!$F20,EOMONTH(AH$4,0)&gt;=Timeline!$E20),"C",IF(AND(ISNUMBER(Timeline!$F20),ISNUMBER(Timeline!$K20),AH$4&lt;=Timeline!$K20,EOMONTH(AH$4,0)&gt;Timeline!$F20),"P",IF(AND(ISNUMBER(Timeline!$H20),ISNUMBER(Timeline!$K20),NOT(ISNUMBER(Timeline!$F20)),AH$4&lt;=Timeline!$K20,EOMONTH(AH$4,0)&gt;=Timeline!$H20),"P",IF(AND(ISNUMBER(Timeline!$K20),ISNUMBER(Timeline!$O20),AH$4&lt;=Timeline!$O20,EOMONTH(AH$4,0)&gt;Timeline!$K20),"S",""))))</f>
        <v/>
      </c>
    </row>
    <row r="16" customFormat="false" ht="15" hidden="false" customHeight="false" outlineLevel="0" collapsed="false">
      <c r="A16" s="5" t="n">
        <v>12</v>
      </c>
      <c r="B16" s="16" t="s">
        <v>60</v>
      </c>
      <c r="C16" s="16" t="s">
        <v>55</v>
      </c>
      <c r="D16" s="17" t="str">
        <f aca="false">IF(AND(ISNUMBER(Timeline!$E21),ISNUMBER(Timeline!$F21),D$4&lt;=Timeline!$F21,EOMONTH(D$4,0)&gt;=Timeline!$E21),"C",IF(AND(ISNUMBER(Timeline!$F21),ISNUMBER(Timeline!$K21),D$4&lt;=Timeline!$K21,EOMONTH(D$4,0)&gt;Timeline!$F21),"P",IF(AND(ISNUMBER(Timeline!$H21),ISNUMBER(Timeline!$K21),NOT(ISNUMBER(Timeline!$F21)),D$4&lt;=Timeline!$K21,EOMONTH(D$4,0)&gt;=Timeline!$H21),"P",IF(AND(ISNUMBER(Timeline!$K21),ISNUMBER(Timeline!$O21),D$4&lt;=Timeline!$O21,EOMONTH(D$4,0)&gt;Timeline!$K21),"S",""))))</f>
        <v/>
      </c>
      <c r="E16" s="17" t="str">
        <f aca="false">IF(AND(ISNUMBER(Timeline!$E21),ISNUMBER(Timeline!$F21),E$4&lt;=Timeline!$F21,EOMONTH(E$4,0)&gt;=Timeline!$E21),"C",IF(AND(ISNUMBER(Timeline!$F21),ISNUMBER(Timeline!$K21),E$4&lt;=Timeline!$K21,EOMONTH(E$4,0)&gt;Timeline!$F21),"P",IF(AND(ISNUMBER(Timeline!$H21),ISNUMBER(Timeline!$K21),NOT(ISNUMBER(Timeline!$F21)),E$4&lt;=Timeline!$K21,EOMONTH(E$4,0)&gt;=Timeline!$H21),"P",IF(AND(ISNUMBER(Timeline!$K21),ISNUMBER(Timeline!$O21),E$4&lt;=Timeline!$O21,EOMONTH(E$4,0)&gt;Timeline!$K21),"S",""))))</f>
        <v/>
      </c>
      <c r="F16" s="17" t="str">
        <f aca="false">IF(AND(ISNUMBER(Timeline!$E21),ISNUMBER(Timeline!$F21),F$4&lt;=Timeline!$F21,EOMONTH(F$4,0)&gt;=Timeline!$E21),"C",IF(AND(ISNUMBER(Timeline!$F21),ISNUMBER(Timeline!$K21),F$4&lt;=Timeline!$K21,EOMONTH(F$4,0)&gt;Timeline!$F21),"P",IF(AND(ISNUMBER(Timeline!$H21),ISNUMBER(Timeline!$K21),NOT(ISNUMBER(Timeline!$F21)),F$4&lt;=Timeline!$K21,EOMONTH(F$4,0)&gt;=Timeline!$H21),"P",IF(AND(ISNUMBER(Timeline!$K21),ISNUMBER(Timeline!$O21),F$4&lt;=Timeline!$O21,EOMONTH(F$4,0)&gt;Timeline!$K21),"S",""))))</f>
        <v/>
      </c>
      <c r="G16" s="17" t="str">
        <f aca="false">IF(AND(ISNUMBER(Timeline!$E21),ISNUMBER(Timeline!$F21),G$4&lt;=Timeline!$F21,EOMONTH(G$4,0)&gt;=Timeline!$E21),"C",IF(AND(ISNUMBER(Timeline!$F21),ISNUMBER(Timeline!$K21),G$4&lt;=Timeline!$K21,EOMONTH(G$4,0)&gt;Timeline!$F21),"P",IF(AND(ISNUMBER(Timeline!$H21),ISNUMBER(Timeline!$K21),NOT(ISNUMBER(Timeline!$F21)),G$4&lt;=Timeline!$K21,EOMONTH(G$4,0)&gt;=Timeline!$H21),"P",IF(AND(ISNUMBER(Timeline!$K21),ISNUMBER(Timeline!$O21),G$4&lt;=Timeline!$O21,EOMONTH(G$4,0)&gt;Timeline!$K21),"S",""))))</f>
        <v/>
      </c>
      <c r="H16" s="17" t="str">
        <f aca="false">IF(AND(ISNUMBER(Timeline!$E21),ISNUMBER(Timeline!$F21),H$4&lt;=Timeline!$F21,EOMONTH(H$4,0)&gt;=Timeline!$E21),"C",IF(AND(ISNUMBER(Timeline!$F21),ISNUMBER(Timeline!$K21),H$4&lt;=Timeline!$K21,EOMONTH(H$4,0)&gt;Timeline!$F21),"P",IF(AND(ISNUMBER(Timeline!$H21),ISNUMBER(Timeline!$K21),NOT(ISNUMBER(Timeline!$F21)),H$4&lt;=Timeline!$K21,EOMONTH(H$4,0)&gt;=Timeline!$H21),"P",IF(AND(ISNUMBER(Timeline!$K21),ISNUMBER(Timeline!$O21),H$4&lt;=Timeline!$O21,EOMONTH(H$4,0)&gt;Timeline!$K21),"S",""))))</f>
        <v/>
      </c>
      <c r="I16" s="17" t="str">
        <f aca="false">IF(AND(ISNUMBER(Timeline!$E21),ISNUMBER(Timeline!$F21),I$4&lt;=Timeline!$F21,EOMONTH(I$4,0)&gt;=Timeline!$E21),"C",IF(AND(ISNUMBER(Timeline!$F21),ISNUMBER(Timeline!$K21),I$4&lt;=Timeline!$K21,EOMONTH(I$4,0)&gt;Timeline!$F21),"P",IF(AND(ISNUMBER(Timeline!$H21),ISNUMBER(Timeline!$K21),NOT(ISNUMBER(Timeline!$F21)),I$4&lt;=Timeline!$K21,EOMONTH(I$4,0)&gt;=Timeline!$H21),"P",IF(AND(ISNUMBER(Timeline!$K21),ISNUMBER(Timeline!$O21),I$4&lt;=Timeline!$O21,EOMONTH(I$4,0)&gt;Timeline!$K21),"S",""))))</f>
        <v/>
      </c>
      <c r="J16" s="17" t="str">
        <f aca="false">IF(AND(ISNUMBER(Timeline!$E21),ISNUMBER(Timeline!$F21),J$4&lt;=Timeline!$F21,EOMONTH(J$4,0)&gt;=Timeline!$E21),"C",IF(AND(ISNUMBER(Timeline!$F21),ISNUMBER(Timeline!$K21),J$4&lt;=Timeline!$K21,EOMONTH(J$4,0)&gt;Timeline!$F21),"P",IF(AND(ISNUMBER(Timeline!$H21),ISNUMBER(Timeline!$K21),NOT(ISNUMBER(Timeline!$F21)),J$4&lt;=Timeline!$K21,EOMONTH(J$4,0)&gt;=Timeline!$H21),"P",IF(AND(ISNUMBER(Timeline!$K21),ISNUMBER(Timeline!$O21),J$4&lt;=Timeline!$O21,EOMONTH(J$4,0)&gt;Timeline!$K21),"S",""))))</f>
        <v>C</v>
      </c>
      <c r="K16" s="17" t="str">
        <f aca="false">IF(AND(ISNUMBER(Timeline!$E21),ISNUMBER(Timeline!$F21),K$4&lt;=Timeline!$F21,EOMONTH(K$4,0)&gt;=Timeline!$E21),"C",IF(AND(ISNUMBER(Timeline!$F21),ISNUMBER(Timeline!$K21),K$4&lt;=Timeline!$K21,EOMONTH(K$4,0)&gt;Timeline!$F21),"P",IF(AND(ISNUMBER(Timeline!$H21),ISNUMBER(Timeline!$K21),NOT(ISNUMBER(Timeline!$F21)),K$4&lt;=Timeline!$K21,EOMONTH(K$4,0)&gt;=Timeline!$H21),"P",IF(AND(ISNUMBER(Timeline!$K21),ISNUMBER(Timeline!$O21),K$4&lt;=Timeline!$O21,EOMONTH(K$4,0)&gt;Timeline!$K21),"S",""))))</f>
        <v>C</v>
      </c>
      <c r="L16" s="17" t="str">
        <f aca="false">IF(AND(ISNUMBER(Timeline!$E21),ISNUMBER(Timeline!$F21),L$4&lt;=Timeline!$F21,EOMONTH(L$4,0)&gt;=Timeline!$E21),"C",IF(AND(ISNUMBER(Timeline!$F21),ISNUMBER(Timeline!$K21),L$4&lt;=Timeline!$K21,EOMONTH(L$4,0)&gt;Timeline!$F21),"P",IF(AND(ISNUMBER(Timeline!$H21),ISNUMBER(Timeline!$K21),NOT(ISNUMBER(Timeline!$F21)),L$4&lt;=Timeline!$K21,EOMONTH(L$4,0)&gt;=Timeline!$H21),"P",IF(AND(ISNUMBER(Timeline!$K21),ISNUMBER(Timeline!$O21),L$4&lt;=Timeline!$O21,EOMONTH(L$4,0)&gt;Timeline!$K21),"S",""))))</f>
        <v>C</v>
      </c>
      <c r="M16" s="17" t="str">
        <f aca="false">IF(AND(ISNUMBER(Timeline!$E21),ISNUMBER(Timeline!$F21),M$4&lt;=Timeline!$F21,EOMONTH(M$4,0)&gt;=Timeline!$E21),"C",IF(AND(ISNUMBER(Timeline!$F21),ISNUMBER(Timeline!$K21),M$4&lt;=Timeline!$K21,EOMONTH(M$4,0)&gt;Timeline!$F21),"P",IF(AND(ISNUMBER(Timeline!$H21),ISNUMBER(Timeline!$K21),NOT(ISNUMBER(Timeline!$F21)),M$4&lt;=Timeline!$K21,EOMONTH(M$4,0)&gt;=Timeline!$H21),"P",IF(AND(ISNUMBER(Timeline!$K21),ISNUMBER(Timeline!$O21),M$4&lt;=Timeline!$O21,EOMONTH(M$4,0)&gt;Timeline!$K21),"S",""))))</f>
        <v>C</v>
      </c>
      <c r="N16" s="17" t="str">
        <f aca="false">IF(AND(ISNUMBER(Timeline!$E21),ISNUMBER(Timeline!$F21),N$4&lt;=Timeline!$F21,EOMONTH(N$4,0)&gt;=Timeline!$E21),"C",IF(AND(ISNUMBER(Timeline!$F21),ISNUMBER(Timeline!$K21),N$4&lt;=Timeline!$K21,EOMONTH(N$4,0)&gt;Timeline!$F21),"P",IF(AND(ISNUMBER(Timeline!$H21),ISNUMBER(Timeline!$K21),NOT(ISNUMBER(Timeline!$F21)),N$4&lt;=Timeline!$K21,EOMONTH(N$4,0)&gt;=Timeline!$H21),"P",IF(AND(ISNUMBER(Timeline!$K21),ISNUMBER(Timeline!$O21),N$4&lt;=Timeline!$O21,EOMONTH(N$4,0)&gt;Timeline!$K21),"S",""))))</f>
        <v>P</v>
      </c>
      <c r="O16" s="17" t="str">
        <f aca="false">IF(AND(ISNUMBER(Timeline!$E21),ISNUMBER(Timeline!$F21),O$4&lt;=Timeline!$F21,EOMONTH(O$4,0)&gt;=Timeline!$E21),"C",IF(AND(ISNUMBER(Timeline!$F21),ISNUMBER(Timeline!$K21),O$4&lt;=Timeline!$K21,EOMONTH(O$4,0)&gt;Timeline!$F21),"P",IF(AND(ISNUMBER(Timeline!$H21),ISNUMBER(Timeline!$K21),NOT(ISNUMBER(Timeline!$F21)),O$4&lt;=Timeline!$K21,EOMONTH(O$4,0)&gt;=Timeline!$H21),"P",IF(AND(ISNUMBER(Timeline!$K21),ISNUMBER(Timeline!$O21),O$4&lt;=Timeline!$O21,EOMONTH(O$4,0)&gt;Timeline!$K21),"S",""))))</f>
        <v>P</v>
      </c>
      <c r="P16" s="17" t="str">
        <f aca="false">IF(AND(ISNUMBER(Timeline!$E21),ISNUMBER(Timeline!$F21),P$4&lt;=Timeline!$F21,EOMONTH(P$4,0)&gt;=Timeline!$E21),"C",IF(AND(ISNUMBER(Timeline!$F21),ISNUMBER(Timeline!$K21),P$4&lt;=Timeline!$K21,EOMONTH(P$4,0)&gt;Timeline!$F21),"P",IF(AND(ISNUMBER(Timeline!$H21),ISNUMBER(Timeline!$K21),NOT(ISNUMBER(Timeline!$F21)),P$4&lt;=Timeline!$K21,EOMONTH(P$4,0)&gt;=Timeline!$H21),"P",IF(AND(ISNUMBER(Timeline!$K21),ISNUMBER(Timeline!$O21),P$4&lt;=Timeline!$O21,EOMONTH(P$4,0)&gt;Timeline!$K21),"S",""))))</f>
        <v>P</v>
      </c>
      <c r="Q16" s="17" t="str">
        <f aca="false">IF(AND(ISNUMBER(Timeline!$E21),ISNUMBER(Timeline!$F21),Q$4&lt;=Timeline!$F21,EOMONTH(Q$4,0)&gt;=Timeline!$E21),"C",IF(AND(ISNUMBER(Timeline!$F21),ISNUMBER(Timeline!$K21),Q$4&lt;=Timeline!$K21,EOMONTH(Q$4,0)&gt;Timeline!$F21),"P",IF(AND(ISNUMBER(Timeline!$H21),ISNUMBER(Timeline!$K21),NOT(ISNUMBER(Timeline!$F21)),Q$4&lt;=Timeline!$K21,EOMONTH(Q$4,0)&gt;=Timeline!$H21),"P",IF(AND(ISNUMBER(Timeline!$K21),ISNUMBER(Timeline!$O21),Q$4&lt;=Timeline!$O21,EOMONTH(Q$4,0)&gt;Timeline!$K21),"S",""))))</f>
        <v>P</v>
      </c>
      <c r="R16" s="17" t="str">
        <f aca="false">IF(AND(ISNUMBER(Timeline!$E21),ISNUMBER(Timeline!$F21),R$4&lt;=Timeline!$F21,EOMONTH(R$4,0)&gt;=Timeline!$E21),"C",IF(AND(ISNUMBER(Timeline!$F21),ISNUMBER(Timeline!$K21),R$4&lt;=Timeline!$K21,EOMONTH(R$4,0)&gt;Timeline!$F21),"P",IF(AND(ISNUMBER(Timeline!$H21),ISNUMBER(Timeline!$K21),NOT(ISNUMBER(Timeline!$F21)),R$4&lt;=Timeline!$K21,EOMONTH(R$4,0)&gt;=Timeline!$H21),"P",IF(AND(ISNUMBER(Timeline!$K21),ISNUMBER(Timeline!$O21),R$4&lt;=Timeline!$O21,EOMONTH(R$4,0)&gt;Timeline!$K21),"S",""))))</f>
        <v>P</v>
      </c>
      <c r="S16" s="17" t="str">
        <f aca="false">IF(AND(ISNUMBER(Timeline!$E21),ISNUMBER(Timeline!$F21),S$4&lt;=Timeline!$F21,EOMONTH(S$4,0)&gt;=Timeline!$E21),"C",IF(AND(ISNUMBER(Timeline!$F21),ISNUMBER(Timeline!$K21),S$4&lt;=Timeline!$K21,EOMONTH(S$4,0)&gt;Timeline!$F21),"P",IF(AND(ISNUMBER(Timeline!$H21),ISNUMBER(Timeline!$K21),NOT(ISNUMBER(Timeline!$F21)),S$4&lt;=Timeline!$K21,EOMONTH(S$4,0)&gt;=Timeline!$H21),"P",IF(AND(ISNUMBER(Timeline!$K21),ISNUMBER(Timeline!$O21),S$4&lt;=Timeline!$O21,EOMONTH(S$4,0)&gt;Timeline!$K21),"S",""))))</f>
        <v>P</v>
      </c>
      <c r="T16" s="17" t="str">
        <f aca="false">IF(AND(ISNUMBER(Timeline!$E21),ISNUMBER(Timeline!$F21),T$4&lt;=Timeline!$F21,EOMONTH(T$4,0)&gt;=Timeline!$E21),"C",IF(AND(ISNUMBER(Timeline!$F21),ISNUMBER(Timeline!$K21),T$4&lt;=Timeline!$K21,EOMONTH(T$4,0)&gt;Timeline!$F21),"P",IF(AND(ISNUMBER(Timeline!$H21),ISNUMBER(Timeline!$K21),NOT(ISNUMBER(Timeline!$F21)),T$4&lt;=Timeline!$K21,EOMONTH(T$4,0)&gt;=Timeline!$H21),"P",IF(AND(ISNUMBER(Timeline!$K21),ISNUMBER(Timeline!$O21),T$4&lt;=Timeline!$O21,EOMONTH(T$4,0)&gt;Timeline!$K21),"S",""))))</f>
        <v>P</v>
      </c>
      <c r="U16" s="17" t="str">
        <f aca="false">IF(AND(ISNUMBER(Timeline!$E21),ISNUMBER(Timeline!$F21),U$4&lt;=Timeline!$F21,EOMONTH(U$4,0)&gt;=Timeline!$E21),"C",IF(AND(ISNUMBER(Timeline!$F21),ISNUMBER(Timeline!$K21),U$4&lt;=Timeline!$K21,EOMONTH(U$4,0)&gt;Timeline!$F21),"P",IF(AND(ISNUMBER(Timeline!$H21),ISNUMBER(Timeline!$K21),NOT(ISNUMBER(Timeline!$F21)),U$4&lt;=Timeline!$K21,EOMONTH(U$4,0)&gt;=Timeline!$H21),"P",IF(AND(ISNUMBER(Timeline!$K21),ISNUMBER(Timeline!$O21),U$4&lt;=Timeline!$O21,EOMONTH(U$4,0)&gt;Timeline!$K21),"S",""))))</f>
        <v>P</v>
      </c>
      <c r="V16" s="17" t="str">
        <f aca="false">IF(AND(ISNUMBER(Timeline!$E21),ISNUMBER(Timeline!$F21),V$4&lt;=Timeline!$F21,EOMONTH(V$4,0)&gt;=Timeline!$E21),"C",IF(AND(ISNUMBER(Timeline!$F21),ISNUMBER(Timeline!$K21),V$4&lt;=Timeline!$K21,EOMONTH(V$4,0)&gt;Timeline!$F21),"P",IF(AND(ISNUMBER(Timeline!$H21),ISNUMBER(Timeline!$K21),NOT(ISNUMBER(Timeline!$F21)),V$4&lt;=Timeline!$K21,EOMONTH(V$4,0)&gt;=Timeline!$H21),"P",IF(AND(ISNUMBER(Timeline!$K21),ISNUMBER(Timeline!$O21),V$4&lt;=Timeline!$O21,EOMONTH(V$4,0)&gt;Timeline!$K21),"S",""))))</f>
        <v>P</v>
      </c>
      <c r="W16" s="17" t="str">
        <f aca="false">IF(AND(ISNUMBER(Timeline!$E21),ISNUMBER(Timeline!$F21),W$4&lt;=Timeline!$F21,EOMONTH(W$4,0)&gt;=Timeline!$E21),"C",IF(AND(ISNUMBER(Timeline!$F21),ISNUMBER(Timeline!$K21),W$4&lt;=Timeline!$K21,EOMONTH(W$4,0)&gt;Timeline!$F21),"P",IF(AND(ISNUMBER(Timeline!$H21),ISNUMBER(Timeline!$K21),NOT(ISNUMBER(Timeline!$F21)),W$4&lt;=Timeline!$K21,EOMONTH(W$4,0)&gt;=Timeline!$H21),"P",IF(AND(ISNUMBER(Timeline!$K21),ISNUMBER(Timeline!$O21),W$4&lt;=Timeline!$O21,EOMONTH(W$4,0)&gt;Timeline!$K21),"S",""))))</f>
        <v>P</v>
      </c>
      <c r="X16" s="17" t="str">
        <f aca="false">IF(AND(ISNUMBER(Timeline!$E21),ISNUMBER(Timeline!$F21),X$4&lt;=Timeline!$F21,EOMONTH(X$4,0)&gt;=Timeline!$E21),"C",IF(AND(ISNUMBER(Timeline!$F21),ISNUMBER(Timeline!$K21),X$4&lt;=Timeline!$K21,EOMONTH(X$4,0)&gt;Timeline!$F21),"P",IF(AND(ISNUMBER(Timeline!$H21),ISNUMBER(Timeline!$K21),NOT(ISNUMBER(Timeline!$F21)),X$4&lt;=Timeline!$K21,EOMONTH(X$4,0)&gt;=Timeline!$H21),"P",IF(AND(ISNUMBER(Timeline!$K21),ISNUMBER(Timeline!$O21),X$4&lt;=Timeline!$O21,EOMONTH(X$4,0)&gt;Timeline!$K21),"S",""))))</f>
        <v/>
      </c>
      <c r="Y16" s="17" t="str">
        <f aca="false">IF(AND(ISNUMBER(Timeline!$E21),ISNUMBER(Timeline!$F21),Y$4&lt;=Timeline!$F21,EOMONTH(Y$4,0)&gt;=Timeline!$E21),"C",IF(AND(ISNUMBER(Timeline!$F21),ISNUMBER(Timeline!$K21),Y$4&lt;=Timeline!$K21,EOMONTH(Y$4,0)&gt;Timeline!$F21),"P",IF(AND(ISNUMBER(Timeline!$H21),ISNUMBER(Timeline!$K21),NOT(ISNUMBER(Timeline!$F21)),Y$4&lt;=Timeline!$K21,EOMONTH(Y$4,0)&gt;=Timeline!$H21),"P",IF(AND(ISNUMBER(Timeline!$K21),ISNUMBER(Timeline!$O21),Y$4&lt;=Timeline!$O21,EOMONTH(Y$4,0)&gt;Timeline!$K21),"S",""))))</f>
        <v/>
      </c>
      <c r="Z16" s="17" t="str">
        <f aca="false">IF(AND(ISNUMBER(Timeline!$E21),ISNUMBER(Timeline!$F21),Z$4&lt;=Timeline!$F21,EOMONTH(Z$4,0)&gt;=Timeline!$E21),"C",IF(AND(ISNUMBER(Timeline!$F21),ISNUMBER(Timeline!$K21),Z$4&lt;=Timeline!$K21,EOMONTH(Z$4,0)&gt;Timeline!$F21),"P",IF(AND(ISNUMBER(Timeline!$H21),ISNUMBER(Timeline!$K21),NOT(ISNUMBER(Timeline!$F21)),Z$4&lt;=Timeline!$K21,EOMONTH(Z$4,0)&gt;=Timeline!$H21),"P",IF(AND(ISNUMBER(Timeline!$K21),ISNUMBER(Timeline!$O21),Z$4&lt;=Timeline!$O21,EOMONTH(Z$4,0)&gt;Timeline!$K21),"S",""))))</f>
        <v/>
      </c>
      <c r="AA16" s="17" t="str">
        <f aca="false">IF(AND(ISNUMBER(Timeline!$E21),ISNUMBER(Timeline!$F21),AA$4&lt;=Timeline!$F21,EOMONTH(AA$4,0)&gt;=Timeline!$E21),"C",IF(AND(ISNUMBER(Timeline!$F21),ISNUMBER(Timeline!$K21),AA$4&lt;=Timeline!$K21,EOMONTH(AA$4,0)&gt;Timeline!$F21),"P",IF(AND(ISNUMBER(Timeline!$H21),ISNUMBER(Timeline!$K21),NOT(ISNUMBER(Timeline!$F21)),AA$4&lt;=Timeline!$K21,EOMONTH(AA$4,0)&gt;=Timeline!$H21),"P",IF(AND(ISNUMBER(Timeline!$K21),ISNUMBER(Timeline!$O21),AA$4&lt;=Timeline!$O21,EOMONTH(AA$4,0)&gt;Timeline!$K21),"S",""))))</f>
        <v/>
      </c>
      <c r="AB16" s="17" t="str">
        <f aca="false">IF(AND(ISNUMBER(Timeline!$E21),ISNUMBER(Timeline!$F21),AB$4&lt;=Timeline!$F21,EOMONTH(AB$4,0)&gt;=Timeline!$E21),"C",IF(AND(ISNUMBER(Timeline!$F21),ISNUMBER(Timeline!$K21),AB$4&lt;=Timeline!$K21,EOMONTH(AB$4,0)&gt;Timeline!$F21),"P",IF(AND(ISNUMBER(Timeline!$H21),ISNUMBER(Timeline!$K21),NOT(ISNUMBER(Timeline!$F21)),AB$4&lt;=Timeline!$K21,EOMONTH(AB$4,0)&gt;=Timeline!$H21),"P",IF(AND(ISNUMBER(Timeline!$K21),ISNUMBER(Timeline!$O21),AB$4&lt;=Timeline!$O21,EOMONTH(AB$4,0)&gt;Timeline!$K21),"S",""))))</f>
        <v/>
      </c>
      <c r="AC16" s="17" t="str">
        <f aca="false">IF(AND(ISNUMBER(Timeline!$E21),ISNUMBER(Timeline!$F21),AC$4&lt;=Timeline!$F21,EOMONTH(AC$4,0)&gt;=Timeline!$E21),"C",IF(AND(ISNUMBER(Timeline!$F21),ISNUMBER(Timeline!$K21),AC$4&lt;=Timeline!$K21,EOMONTH(AC$4,0)&gt;Timeline!$F21),"P",IF(AND(ISNUMBER(Timeline!$H21),ISNUMBER(Timeline!$K21),NOT(ISNUMBER(Timeline!$F21)),AC$4&lt;=Timeline!$K21,EOMONTH(AC$4,0)&gt;=Timeline!$H21),"P",IF(AND(ISNUMBER(Timeline!$K21),ISNUMBER(Timeline!$O21),AC$4&lt;=Timeline!$O21,EOMONTH(AC$4,0)&gt;Timeline!$K21),"S",""))))</f>
        <v/>
      </c>
      <c r="AD16" s="17" t="str">
        <f aca="false">IF(AND(ISNUMBER(Timeline!$E21),ISNUMBER(Timeline!$F21),AD$4&lt;=Timeline!$F21,EOMONTH(AD$4,0)&gt;=Timeline!$E21),"C",IF(AND(ISNUMBER(Timeline!$F21),ISNUMBER(Timeline!$K21),AD$4&lt;=Timeline!$K21,EOMONTH(AD$4,0)&gt;Timeline!$F21),"P",IF(AND(ISNUMBER(Timeline!$H21),ISNUMBER(Timeline!$K21),NOT(ISNUMBER(Timeline!$F21)),AD$4&lt;=Timeline!$K21,EOMONTH(AD$4,0)&gt;=Timeline!$H21),"P",IF(AND(ISNUMBER(Timeline!$K21),ISNUMBER(Timeline!$O21),AD$4&lt;=Timeline!$O21,EOMONTH(AD$4,0)&gt;Timeline!$K21),"S",""))))</f>
        <v/>
      </c>
      <c r="AE16" s="17" t="str">
        <f aca="false">IF(AND(ISNUMBER(Timeline!$E21),ISNUMBER(Timeline!$F21),AE$4&lt;=Timeline!$F21,EOMONTH(AE$4,0)&gt;=Timeline!$E21),"C",IF(AND(ISNUMBER(Timeline!$F21),ISNUMBER(Timeline!$K21),AE$4&lt;=Timeline!$K21,EOMONTH(AE$4,0)&gt;Timeline!$F21),"P",IF(AND(ISNUMBER(Timeline!$H21),ISNUMBER(Timeline!$K21),NOT(ISNUMBER(Timeline!$F21)),AE$4&lt;=Timeline!$K21,EOMONTH(AE$4,0)&gt;=Timeline!$H21),"P",IF(AND(ISNUMBER(Timeline!$K21),ISNUMBER(Timeline!$O21),AE$4&lt;=Timeline!$O21,EOMONTH(AE$4,0)&gt;Timeline!$K21),"S",""))))</f>
        <v/>
      </c>
      <c r="AF16" s="17" t="str">
        <f aca="false">IF(AND(ISNUMBER(Timeline!$E21),ISNUMBER(Timeline!$F21),AF$4&lt;=Timeline!$F21,EOMONTH(AF$4,0)&gt;=Timeline!$E21),"C",IF(AND(ISNUMBER(Timeline!$F21),ISNUMBER(Timeline!$K21),AF$4&lt;=Timeline!$K21,EOMONTH(AF$4,0)&gt;Timeline!$F21),"P",IF(AND(ISNUMBER(Timeline!$H21),ISNUMBER(Timeline!$K21),NOT(ISNUMBER(Timeline!$F21)),AF$4&lt;=Timeline!$K21,EOMONTH(AF$4,0)&gt;=Timeline!$H21),"P",IF(AND(ISNUMBER(Timeline!$K21),ISNUMBER(Timeline!$O21),AF$4&lt;=Timeline!$O21,EOMONTH(AF$4,0)&gt;Timeline!$K21),"S",""))))</f>
        <v/>
      </c>
      <c r="AG16" s="17" t="str">
        <f aca="false">IF(AND(ISNUMBER(Timeline!$E21),ISNUMBER(Timeline!$F21),AG$4&lt;=Timeline!$F21,EOMONTH(AG$4,0)&gt;=Timeline!$E21),"C",IF(AND(ISNUMBER(Timeline!$F21),ISNUMBER(Timeline!$K21),AG$4&lt;=Timeline!$K21,EOMONTH(AG$4,0)&gt;Timeline!$F21),"P",IF(AND(ISNUMBER(Timeline!$H21),ISNUMBER(Timeline!$K21),NOT(ISNUMBER(Timeline!$F21)),AG$4&lt;=Timeline!$K21,EOMONTH(AG$4,0)&gt;=Timeline!$H21),"P",IF(AND(ISNUMBER(Timeline!$K21),ISNUMBER(Timeline!$O21),AG$4&lt;=Timeline!$O21,EOMONTH(AG$4,0)&gt;Timeline!$K21),"S",""))))</f>
        <v/>
      </c>
      <c r="AH16" s="17" t="str">
        <f aca="false">IF(AND(ISNUMBER(Timeline!$E21),ISNUMBER(Timeline!$F21),AH$4&lt;=Timeline!$F21,EOMONTH(AH$4,0)&gt;=Timeline!$E21),"C",IF(AND(ISNUMBER(Timeline!$F21),ISNUMBER(Timeline!$K21),AH$4&lt;=Timeline!$K21,EOMONTH(AH$4,0)&gt;Timeline!$F21),"P",IF(AND(ISNUMBER(Timeline!$H21),ISNUMBER(Timeline!$K21),NOT(ISNUMBER(Timeline!$F21)),AH$4&lt;=Timeline!$K21,EOMONTH(AH$4,0)&gt;=Timeline!$H21),"P",IF(AND(ISNUMBER(Timeline!$K21),ISNUMBER(Timeline!$O21),AH$4&lt;=Timeline!$O21,EOMONTH(AH$4,0)&gt;Timeline!$K21),"S",""))))</f>
        <v/>
      </c>
    </row>
    <row r="17" customFormat="false" ht="15" hidden="false" customHeight="false" outlineLevel="0" collapsed="false">
      <c r="A17" s="5" t="n">
        <v>13</v>
      </c>
      <c r="B17" s="16" t="s">
        <v>63</v>
      </c>
      <c r="C17" s="16" t="s">
        <v>33</v>
      </c>
      <c r="D17" s="17" t="str">
        <f aca="false">IF(AND(ISNUMBER(Timeline!$E22),ISNUMBER(Timeline!$F22),D$4&lt;=Timeline!$F22,EOMONTH(D$4,0)&gt;=Timeline!$E22),"C",IF(AND(ISNUMBER(Timeline!$F22),ISNUMBER(Timeline!$K22),D$4&lt;=Timeline!$K22,EOMONTH(D$4,0)&gt;Timeline!$F22),"P",IF(AND(ISNUMBER(Timeline!$H22),ISNUMBER(Timeline!$K22),NOT(ISNUMBER(Timeline!$F22)),D$4&lt;=Timeline!$K22,EOMONTH(D$4,0)&gt;=Timeline!$H22),"P",IF(AND(ISNUMBER(Timeline!$K22),ISNUMBER(Timeline!$O22),D$4&lt;=Timeline!$O22,EOMONTH(D$4,0)&gt;Timeline!$K22),"S",""))))</f>
        <v/>
      </c>
      <c r="E17" s="17" t="str">
        <f aca="false">IF(AND(ISNUMBER(Timeline!$E22),ISNUMBER(Timeline!$F22),E$4&lt;=Timeline!$F22,EOMONTH(E$4,0)&gt;=Timeline!$E22),"C",IF(AND(ISNUMBER(Timeline!$F22),ISNUMBER(Timeline!$K22),E$4&lt;=Timeline!$K22,EOMONTH(E$4,0)&gt;Timeline!$F22),"P",IF(AND(ISNUMBER(Timeline!$H22),ISNUMBER(Timeline!$K22),NOT(ISNUMBER(Timeline!$F22)),E$4&lt;=Timeline!$K22,EOMONTH(E$4,0)&gt;=Timeline!$H22),"P",IF(AND(ISNUMBER(Timeline!$K22),ISNUMBER(Timeline!$O22),E$4&lt;=Timeline!$O22,EOMONTH(E$4,0)&gt;Timeline!$K22),"S",""))))</f>
        <v/>
      </c>
      <c r="F17" s="17" t="str">
        <f aca="false">IF(AND(ISNUMBER(Timeline!$E22),ISNUMBER(Timeline!$F22),F$4&lt;=Timeline!$F22,EOMONTH(F$4,0)&gt;=Timeline!$E22),"C",IF(AND(ISNUMBER(Timeline!$F22),ISNUMBER(Timeline!$K22),F$4&lt;=Timeline!$K22,EOMONTH(F$4,0)&gt;Timeline!$F22),"P",IF(AND(ISNUMBER(Timeline!$H22),ISNUMBER(Timeline!$K22),NOT(ISNUMBER(Timeline!$F22)),F$4&lt;=Timeline!$K22,EOMONTH(F$4,0)&gt;=Timeline!$H22),"P",IF(AND(ISNUMBER(Timeline!$K22),ISNUMBER(Timeline!$O22),F$4&lt;=Timeline!$O22,EOMONTH(F$4,0)&gt;Timeline!$K22),"S",""))))</f>
        <v/>
      </c>
      <c r="G17" s="17" t="str">
        <f aca="false">IF(AND(ISNUMBER(Timeline!$E22),ISNUMBER(Timeline!$F22),G$4&lt;=Timeline!$F22,EOMONTH(G$4,0)&gt;=Timeline!$E22),"C",IF(AND(ISNUMBER(Timeline!$F22),ISNUMBER(Timeline!$K22),G$4&lt;=Timeline!$K22,EOMONTH(G$4,0)&gt;Timeline!$F22),"P",IF(AND(ISNUMBER(Timeline!$H22),ISNUMBER(Timeline!$K22),NOT(ISNUMBER(Timeline!$F22)),G$4&lt;=Timeline!$K22,EOMONTH(G$4,0)&gt;=Timeline!$H22),"P",IF(AND(ISNUMBER(Timeline!$K22),ISNUMBER(Timeline!$O22),G$4&lt;=Timeline!$O22,EOMONTH(G$4,0)&gt;Timeline!$K22),"S",""))))</f>
        <v/>
      </c>
      <c r="H17" s="17" t="str">
        <f aca="false">IF(AND(ISNUMBER(Timeline!$E22),ISNUMBER(Timeline!$F22),H$4&lt;=Timeline!$F22,EOMONTH(H$4,0)&gt;=Timeline!$E22),"C",IF(AND(ISNUMBER(Timeline!$F22),ISNUMBER(Timeline!$K22),H$4&lt;=Timeline!$K22,EOMONTH(H$4,0)&gt;Timeline!$F22),"P",IF(AND(ISNUMBER(Timeline!$H22),ISNUMBER(Timeline!$K22),NOT(ISNUMBER(Timeline!$F22)),H$4&lt;=Timeline!$K22,EOMONTH(H$4,0)&gt;=Timeline!$H22),"P",IF(AND(ISNUMBER(Timeline!$K22),ISNUMBER(Timeline!$O22),H$4&lt;=Timeline!$O22,EOMONTH(H$4,0)&gt;Timeline!$K22),"S",""))))</f>
        <v/>
      </c>
      <c r="I17" s="17" t="str">
        <f aca="false">IF(AND(ISNUMBER(Timeline!$E22),ISNUMBER(Timeline!$F22),I$4&lt;=Timeline!$F22,EOMONTH(I$4,0)&gt;=Timeline!$E22),"C",IF(AND(ISNUMBER(Timeline!$F22),ISNUMBER(Timeline!$K22),I$4&lt;=Timeline!$K22,EOMONTH(I$4,0)&gt;Timeline!$F22),"P",IF(AND(ISNUMBER(Timeline!$H22),ISNUMBER(Timeline!$K22),NOT(ISNUMBER(Timeline!$F22)),I$4&lt;=Timeline!$K22,EOMONTH(I$4,0)&gt;=Timeline!$H22),"P",IF(AND(ISNUMBER(Timeline!$K22),ISNUMBER(Timeline!$O22),I$4&lt;=Timeline!$O22,EOMONTH(I$4,0)&gt;Timeline!$K22),"S",""))))</f>
        <v/>
      </c>
      <c r="J17" s="17" t="str">
        <f aca="false">IF(AND(ISNUMBER(Timeline!$E22),ISNUMBER(Timeline!$F22),J$4&lt;=Timeline!$F22,EOMONTH(J$4,0)&gt;=Timeline!$E22),"C",IF(AND(ISNUMBER(Timeline!$F22),ISNUMBER(Timeline!$K22),J$4&lt;=Timeline!$K22,EOMONTH(J$4,0)&gt;Timeline!$F22),"P",IF(AND(ISNUMBER(Timeline!$H22),ISNUMBER(Timeline!$K22),NOT(ISNUMBER(Timeline!$F22)),J$4&lt;=Timeline!$K22,EOMONTH(J$4,0)&gt;=Timeline!$H22),"P",IF(AND(ISNUMBER(Timeline!$K22),ISNUMBER(Timeline!$O22),J$4&lt;=Timeline!$O22,EOMONTH(J$4,0)&gt;Timeline!$K22),"S",""))))</f>
        <v/>
      </c>
      <c r="K17" s="17" t="str">
        <f aca="false">IF(AND(ISNUMBER(Timeline!$E22),ISNUMBER(Timeline!$F22),K$4&lt;=Timeline!$F22,EOMONTH(K$4,0)&gt;=Timeline!$E22),"C",IF(AND(ISNUMBER(Timeline!$F22),ISNUMBER(Timeline!$K22),K$4&lt;=Timeline!$K22,EOMONTH(K$4,0)&gt;Timeline!$F22),"P",IF(AND(ISNUMBER(Timeline!$H22),ISNUMBER(Timeline!$K22),NOT(ISNUMBER(Timeline!$F22)),K$4&lt;=Timeline!$K22,EOMONTH(K$4,0)&gt;=Timeline!$H22),"P",IF(AND(ISNUMBER(Timeline!$K22),ISNUMBER(Timeline!$O22),K$4&lt;=Timeline!$O22,EOMONTH(K$4,0)&gt;Timeline!$K22),"S",""))))</f>
        <v>C</v>
      </c>
      <c r="L17" s="17" t="str">
        <f aca="false">IF(AND(ISNUMBER(Timeline!$E22),ISNUMBER(Timeline!$F22),L$4&lt;=Timeline!$F22,EOMONTH(L$4,0)&gt;=Timeline!$E22),"C",IF(AND(ISNUMBER(Timeline!$F22),ISNUMBER(Timeline!$K22),L$4&lt;=Timeline!$K22,EOMONTH(L$4,0)&gt;Timeline!$F22),"P",IF(AND(ISNUMBER(Timeline!$H22),ISNUMBER(Timeline!$K22),NOT(ISNUMBER(Timeline!$F22)),L$4&lt;=Timeline!$K22,EOMONTH(L$4,0)&gt;=Timeline!$H22),"P",IF(AND(ISNUMBER(Timeline!$K22),ISNUMBER(Timeline!$O22),L$4&lt;=Timeline!$O22,EOMONTH(L$4,0)&gt;Timeline!$K22),"S",""))))</f>
        <v>C</v>
      </c>
      <c r="M17" s="17" t="str">
        <f aca="false">IF(AND(ISNUMBER(Timeline!$E22),ISNUMBER(Timeline!$F22),M$4&lt;=Timeline!$F22,EOMONTH(M$4,0)&gt;=Timeline!$E22),"C",IF(AND(ISNUMBER(Timeline!$F22),ISNUMBER(Timeline!$K22),M$4&lt;=Timeline!$K22,EOMONTH(M$4,0)&gt;Timeline!$F22),"P",IF(AND(ISNUMBER(Timeline!$H22),ISNUMBER(Timeline!$K22),NOT(ISNUMBER(Timeline!$F22)),M$4&lt;=Timeline!$K22,EOMONTH(M$4,0)&gt;=Timeline!$H22),"P",IF(AND(ISNUMBER(Timeline!$K22),ISNUMBER(Timeline!$O22),M$4&lt;=Timeline!$O22,EOMONTH(M$4,0)&gt;Timeline!$K22),"S",""))))</f>
        <v>C</v>
      </c>
      <c r="N17" s="17" t="str">
        <f aca="false">IF(AND(ISNUMBER(Timeline!$E22),ISNUMBER(Timeline!$F22),N$4&lt;=Timeline!$F22,EOMONTH(N$4,0)&gt;=Timeline!$E22),"C",IF(AND(ISNUMBER(Timeline!$F22),ISNUMBER(Timeline!$K22),N$4&lt;=Timeline!$K22,EOMONTH(N$4,0)&gt;Timeline!$F22),"P",IF(AND(ISNUMBER(Timeline!$H22),ISNUMBER(Timeline!$K22),NOT(ISNUMBER(Timeline!$F22)),N$4&lt;=Timeline!$K22,EOMONTH(N$4,0)&gt;=Timeline!$H22),"P",IF(AND(ISNUMBER(Timeline!$K22),ISNUMBER(Timeline!$O22),N$4&lt;=Timeline!$O22,EOMONTH(N$4,0)&gt;Timeline!$K22),"S",""))))</f>
        <v>P</v>
      </c>
      <c r="O17" s="17" t="str">
        <f aca="false">IF(AND(ISNUMBER(Timeline!$E22),ISNUMBER(Timeline!$F22),O$4&lt;=Timeline!$F22,EOMONTH(O$4,0)&gt;=Timeline!$E22),"C",IF(AND(ISNUMBER(Timeline!$F22),ISNUMBER(Timeline!$K22),O$4&lt;=Timeline!$K22,EOMONTH(O$4,0)&gt;Timeline!$F22),"P",IF(AND(ISNUMBER(Timeline!$H22),ISNUMBER(Timeline!$K22),NOT(ISNUMBER(Timeline!$F22)),O$4&lt;=Timeline!$K22,EOMONTH(O$4,0)&gt;=Timeline!$H22),"P",IF(AND(ISNUMBER(Timeline!$K22),ISNUMBER(Timeline!$O22),O$4&lt;=Timeline!$O22,EOMONTH(O$4,0)&gt;Timeline!$K22),"S",""))))</f>
        <v>P</v>
      </c>
      <c r="P17" s="17" t="str">
        <f aca="false">IF(AND(ISNUMBER(Timeline!$E22),ISNUMBER(Timeline!$F22),P$4&lt;=Timeline!$F22,EOMONTH(P$4,0)&gt;=Timeline!$E22),"C",IF(AND(ISNUMBER(Timeline!$F22),ISNUMBER(Timeline!$K22),P$4&lt;=Timeline!$K22,EOMONTH(P$4,0)&gt;Timeline!$F22),"P",IF(AND(ISNUMBER(Timeline!$H22),ISNUMBER(Timeline!$K22),NOT(ISNUMBER(Timeline!$F22)),P$4&lt;=Timeline!$K22,EOMONTH(P$4,0)&gt;=Timeline!$H22),"P",IF(AND(ISNUMBER(Timeline!$K22),ISNUMBER(Timeline!$O22),P$4&lt;=Timeline!$O22,EOMONTH(P$4,0)&gt;Timeline!$K22),"S",""))))</f>
        <v>P</v>
      </c>
      <c r="Q17" s="17" t="str">
        <f aca="false">IF(AND(ISNUMBER(Timeline!$E22),ISNUMBER(Timeline!$F22),Q$4&lt;=Timeline!$F22,EOMONTH(Q$4,0)&gt;=Timeline!$E22),"C",IF(AND(ISNUMBER(Timeline!$F22),ISNUMBER(Timeline!$K22),Q$4&lt;=Timeline!$K22,EOMONTH(Q$4,0)&gt;Timeline!$F22),"P",IF(AND(ISNUMBER(Timeline!$H22),ISNUMBER(Timeline!$K22),NOT(ISNUMBER(Timeline!$F22)),Q$4&lt;=Timeline!$K22,EOMONTH(Q$4,0)&gt;=Timeline!$H22),"P",IF(AND(ISNUMBER(Timeline!$K22),ISNUMBER(Timeline!$O22),Q$4&lt;=Timeline!$O22,EOMONTH(Q$4,0)&gt;Timeline!$K22),"S",""))))</f>
        <v>P</v>
      </c>
      <c r="R17" s="17" t="str">
        <f aca="false">IF(AND(ISNUMBER(Timeline!$E22),ISNUMBER(Timeline!$F22),R$4&lt;=Timeline!$F22,EOMONTH(R$4,0)&gt;=Timeline!$E22),"C",IF(AND(ISNUMBER(Timeline!$F22),ISNUMBER(Timeline!$K22),R$4&lt;=Timeline!$K22,EOMONTH(R$4,0)&gt;Timeline!$F22),"P",IF(AND(ISNUMBER(Timeline!$H22),ISNUMBER(Timeline!$K22),NOT(ISNUMBER(Timeline!$F22)),R$4&lt;=Timeline!$K22,EOMONTH(R$4,0)&gt;=Timeline!$H22),"P",IF(AND(ISNUMBER(Timeline!$K22),ISNUMBER(Timeline!$O22),R$4&lt;=Timeline!$O22,EOMONTH(R$4,0)&gt;Timeline!$K22),"S",""))))</f>
        <v>P</v>
      </c>
      <c r="S17" s="17" t="str">
        <f aca="false">IF(AND(ISNUMBER(Timeline!$E22),ISNUMBER(Timeline!$F22),S$4&lt;=Timeline!$F22,EOMONTH(S$4,0)&gt;=Timeline!$E22),"C",IF(AND(ISNUMBER(Timeline!$F22),ISNUMBER(Timeline!$K22),S$4&lt;=Timeline!$K22,EOMONTH(S$4,0)&gt;Timeline!$F22),"P",IF(AND(ISNUMBER(Timeline!$H22),ISNUMBER(Timeline!$K22),NOT(ISNUMBER(Timeline!$F22)),S$4&lt;=Timeline!$K22,EOMONTH(S$4,0)&gt;=Timeline!$H22),"P",IF(AND(ISNUMBER(Timeline!$K22),ISNUMBER(Timeline!$O22),S$4&lt;=Timeline!$O22,EOMONTH(S$4,0)&gt;Timeline!$K22),"S",""))))</f>
        <v>P</v>
      </c>
      <c r="T17" s="17" t="str">
        <f aca="false">IF(AND(ISNUMBER(Timeline!$E22),ISNUMBER(Timeline!$F22),T$4&lt;=Timeline!$F22,EOMONTH(T$4,0)&gt;=Timeline!$E22),"C",IF(AND(ISNUMBER(Timeline!$F22),ISNUMBER(Timeline!$K22),T$4&lt;=Timeline!$K22,EOMONTH(T$4,0)&gt;Timeline!$F22),"P",IF(AND(ISNUMBER(Timeline!$H22),ISNUMBER(Timeline!$K22),NOT(ISNUMBER(Timeline!$F22)),T$4&lt;=Timeline!$K22,EOMONTH(T$4,0)&gt;=Timeline!$H22),"P",IF(AND(ISNUMBER(Timeline!$K22),ISNUMBER(Timeline!$O22),T$4&lt;=Timeline!$O22,EOMONTH(T$4,0)&gt;Timeline!$K22),"S",""))))</f>
        <v>P</v>
      </c>
      <c r="U17" s="17" t="str">
        <f aca="false">IF(AND(ISNUMBER(Timeline!$E22),ISNUMBER(Timeline!$F22),U$4&lt;=Timeline!$F22,EOMONTH(U$4,0)&gt;=Timeline!$E22),"C",IF(AND(ISNUMBER(Timeline!$F22),ISNUMBER(Timeline!$K22),U$4&lt;=Timeline!$K22,EOMONTH(U$4,0)&gt;Timeline!$F22),"P",IF(AND(ISNUMBER(Timeline!$H22),ISNUMBER(Timeline!$K22),NOT(ISNUMBER(Timeline!$F22)),U$4&lt;=Timeline!$K22,EOMONTH(U$4,0)&gt;=Timeline!$H22),"P",IF(AND(ISNUMBER(Timeline!$K22),ISNUMBER(Timeline!$O22),U$4&lt;=Timeline!$O22,EOMONTH(U$4,0)&gt;Timeline!$K22),"S",""))))</f>
        <v>S</v>
      </c>
      <c r="V17" s="17" t="str">
        <f aca="false">IF(AND(ISNUMBER(Timeline!$E22),ISNUMBER(Timeline!$F22),V$4&lt;=Timeline!$F22,EOMONTH(V$4,0)&gt;=Timeline!$E22),"C",IF(AND(ISNUMBER(Timeline!$F22),ISNUMBER(Timeline!$K22),V$4&lt;=Timeline!$K22,EOMONTH(V$4,0)&gt;Timeline!$F22),"P",IF(AND(ISNUMBER(Timeline!$H22),ISNUMBER(Timeline!$K22),NOT(ISNUMBER(Timeline!$F22)),V$4&lt;=Timeline!$K22,EOMONTH(V$4,0)&gt;=Timeline!$H22),"P",IF(AND(ISNUMBER(Timeline!$K22),ISNUMBER(Timeline!$O22),V$4&lt;=Timeline!$O22,EOMONTH(V$4,0)&gt;Timeline!$K22),"S",""))))</f>
        <v>S</v>
      </c>
      <c r="W17" s="17" t="str">
        <f aca="false">IF(AND(ISNUMBER(Timeline!$E22),ISNUMBER(Timeline!$F22),W$4&lt;=Timeline!$F22,EOMONTH(W$4,0)&gt;=Timeline!$E22),"C",IF(AND(ISNUMBER(Timeline!$F22),ISNUMBER(Timeline!$K22),W$4&lt;=Timeline!$K22,EOMONTH(W$4,0)&gt;Timeline!$F22),"P",IF(AND(ISNUMBER(Timeline!$H22),ISNUMBER(Timeline!$K22),NOT(ISNUMBER(Timeline!$F22)),W$4&lt;=Timeline!$K22,EOMONTH(W$4,0)&gt;=Timeline!$H22),"P",IF(AND(ISNUMBER(Timeline!$K22),ISNUMBER(Timeline!$O22),W$4&lt;=Timeline!$O22,EOMONTH(W$4,0)&gt;Timeline!$K22),"S",""))))</f>
        <v>S</v>
      </c>
      <c r="X17" s="17" t="str">
        <f aca="false">IF(AND(ISNUMBER(Timeline!$E22),ISNUMBER(Timeline!$F22),X$4&lt;=Timeline!$F22,EOMONTH(X$4,0)&gt;=Timeline!$E22),"C",IF(AND(ISNUMBER(Timeline!$F22),ISNUMBER(Timeline!$K22),X$4&lt;=Timeline!$K22,EOMONTH(X$4,0)&gt;Timeline!$F22),"P",IF(AND(ISNUMBER(Timeline!$H22),ISNUMBER(Timeline!$K22),NOT(ISNUMBER(Timeline!$F22)),X$4&lt;=Timeline!$K22,EOMONTH(X$4,0)&gt;=Timeline!$H22),"P",IF(AND(ISNUMBER(Timeline!$K22),ISNUMBER(Timeline!$O22),X$4&lt;=Timeline!$O22,EOMONTH(X$4,0)&gt;Timeline!$K22),"S",""))))</f>
        <v>S</v>
      </c>
      <c r="Y17" s="17" t="str">
        <f aca="false">IF(AND(ISNUMBER(Timeline!$E22),ISNUMBER(Timeline!$F22),Y$4&lt;=Timeline!$F22,EOMONTH(Y$4,0)&gt;=Timeline!$E22),"C",IF(AND(ISNUMBER(Timeline!$F22),ISNUMBER(Timeline!$K22),Y$4&lt;=Timeline!$K22,EOMONTH(Y$4,0)&gt;Timeline!$F22),"P",IF(AND(ISNUMBER(Timeline!$H22),ISNUMBER(Timeline!$K22),NOT(ISNUMBER(Timeline!$F22)),Y$4&lt;=Timeline!$K22,EOMONTH(Y$4,0)&gt;=Timeline!$H22),"P",IF(AND(ISNUMBER(Timeline!$K22),ISNUMBER(Timeline!$O22),Y$4&lt;=Timeline!$O22,EOMONTH(Y$4,0)&gt;Timeline!$K22),"S",""))))</f>
        <v/>
      </c>
      <c r="Z17" s="17" t="str">
        <f aca="false">IF(AND(ISNUMBER(Timeline!$E22),ISNUMBER(Timeline!$F22),Z$4&lt;=Timeline!$F22,EOMONTH(Z$4,0)&gt;=Timeline!$E22),"C",IF(AND(ISNUMBER(Timeline!$F22),ISNUMBER(Timeline!$K22),Z$4&lt;=Timeline!$K22,EOMONTH(Z$4,0)&gt;Timeline!$F22),"P",IF(AND(ISNUMBER(Timeline!$H22),ISNUMBER(Timeline!$K22),NOT(ISNUMBER(Timeline!$F22)),Z$4&lt;=Timeline!$K22,EOMONTH(Z$4,0)&gt;=Timeline!$H22),"P",IF(AND(ISNUMBER(Timeline!$K22),ISNUMBER(Timeline!$O22),Z$4&lt;=Timeline!$O22,EOMONTH(Z$4,0)&gt;Timeline!$K22),"S",""))))</f>
        <v/>
      </c>
      <c r="AA17" s="17" t="str">
        <f aca="false">IF(AND(ISNUMBER(Timeline!$E22),ISNUMBER(Timeline!$F22),AA$4&lt;=Timeline!$F22,EOMONTH(AA$4,0)&gt;=Timeline!$E22),"C",IF(AND(ISNUMBER(Timeline!$F22),ISNUMBER(Timeline!$K22),AA$4&lt;=Timeline!$K22,EOMONTH(AA$4,0)&gt;Timeline!$F22),"P",IF(AND(ISNUMBER(Timeline!$H22),ISNUMBER(Timeline!$K22),NOT(ISNUMBER(Timeline!$F22)),AA$4&lt;=Timeline!$K22,EOMONTH(AA$4,0)&gt;=Timeline!$H22),"P",IF(AND(ISNUMBER(Timeline!$K22),ISNUMBER(Timeline!$O22),AA$4&lt;=Timeline!$O22,EOMONTH(AA$4,0)&gt;Timeline!$K22),"S",""))))</f>
        <v/>
      </c>
      <c r="AB17" s="17" t="str">
        <f aca="false">IF(AND(ISNUMBER(Timeline!$E22),ISNUMBER(Timeline!$F22),AB$4&lt;=Timeline!$F22,EOMONTH(AB$4,0)&gt;=Timeline!$E22),"C",IF(AND(ISNUMBER(Timeline!$F22),ISNUMBER(Timeline!$K22),AB$4&lt;=Timeline!$K22,EOMONTH(AB$4,0)&gt;Timeline!$F22),"P",IF(AND(ISNUMBER(Timeline!$H22),ISNUMBER(Timeline!$K22),NOT(ISNUMBER(Timeline!$F22)),AB$4&lt;=Timeline!$K22,EOMONTH(AB$4,0)&gt;=Timeline!$H22),"P",IF(AND(ISNUMBER(Timeline!$K22),ISNUMBER(Timeline!$O22),AB$4&lt;=Timeline!$O22,EOMONTH(AB$4,0)&gt;Timeline!$K22),"S",""))))</f>
        <v/>
      </c>
      <c r="AC17" s="17" t="str">
        <f aca="false">IF(AND(ISNUMBER(Timeline!$E22),ISNUMBER(Timeline!$F22),AC$4&lt;=Timeline!$F22,EOMONTH(AC$4,0)&gt;=Timeline!$E22),"C",IF(AND(ISNUMBER(Timeline!$F22),ISNUMBER(Timeline!$K22),AC$4&lt;=Timeline!$K22,EOMONTH(AC$4,0)&gt;Timeline!$F22),"P",IF(AND(ISNUMBER(Timeline!$H22),ISNUMBER(Timeline!$K22),NOT(ISNUMBER(Timeline!$F22)),AC$4&lt;=Timeline!$K22,EOMONTH(AC$4,0)&gt;=Timeline!$H22),"P",IF(AND(ISNUMBER(Timeline!$K22),ISNUMBER(Timeline!$O22),AC$4&lt;=Timeline!$O22,EOMONTH(AC$4,0)&gt;Timeline!$K22),"S",""))))</f>
        <v/>
      </c>
      <c r="AD17" s="17" t="str">
        <f aca="false">IF(AND(ISNUMBER(Timeline!$E22),ISNUMBER(Timeline!$F22),AD$4&lt;=Timeline!$F22,EOMONTH(AD$4,0)&gt;=Timeline!$E22),"C",IF(AND(ISNUMBER(Timeline!$F22),ISNUMBER(Timeline!$K22),AD$4&lt;=Timeline!$K22,EOMONTH(AD$4,0)&gt;Timeline!$F22),"P",IF(AND(ISNUMBER(Timeline!$H22),ISNUMBER(Timeline!$K22),NOT(ISNUMBER(Timeline!$F22)),AD$4&lt;=Timeline!$K22,EOMONTH(AD$4,0)&gt;=Timeline!$H22),"P",IF(AND(ISNUMBER(Timeline!$K22),ISNUMBER(Timeline!$O22),AD$4&lt;=Timeline!$O22,EOMONTH(AD$4,0)&gt;Timeline!$K22),"S",""))))</f>
        <v/>
      </c>
      <c r="AE17" s="17" t="str">
        <f aca="false">IF(AND(ISNUMBER(Timeline!$E22),ISNUMBER(Timeline!$F22),AE$4&lt;=Timeline!$F22,EOMONTH(AE$4,0)&gt;=Timeline!$E22),"C",IF(AND(ISNUMBER(Timeline!$F22),ISNUMBER(Timeline!$K22),AE$4&lt;=Timeline!$K22,EOMONTH(AE$4,0)&gt;Timeline!$F22),"P",IF(AND(ISNUMBER(Timeline!$H22),ISNUMBER(Timeline!$K22),NOT(ISNUMBER(Timeline!$F22)),AE$4&lt;=Timeline!$K22,EOMONTH(AE$4,0)&gt;=Timeline!$H22),"P",IF(AND(ISNUMBER(Timeline!$K22),ISNUMBER(Timeline!$O22),AE$4&lt;=Timeline!$O22,EOMONTH(AE$4,0)&gt;Timeline!$K22),"S",""))))</f>
        <v/>
      </c>
      <c r="AF17" s="17" t="str">
        <f aca="false">IF(AND(ISNUMBER(Timeline!$E22),ISNUMBER(Timeline!$F22),AF$4&lt;=Timeline!$F22,EOMONTH(AF$4,0)&gt;=Timeline!$E22),"C",IF(AND(ISNUMBER(Timeline!$F22),ISNUMBER(Timeline!$K22),AF$4&lt;=Timeline!$K22,EOMONTH(AF$4,0)&gt;Timeline!$F22),"P",IF(AND(ISNUMBER(Timeline!$H22),ISNUMBER(Timeline!$K22),NOT(ISNUMBER(Timeline!$F22)),AF$4&lt;=Timeline!$K22,EOMONTH(AF$4,0)&gt;=Timeline!$H22),"P",IF(AND(ISNUMBER(Timeline!$K22),ISNUMBER(Timeline!$O22),AF$4&lt;=Timeline!$O22,EOMONTH(AF$4,0)&gt;Timeline!$K22),"S",""))))</f>
        <v/>
      </c>
      <c r="AG17" s="17" t="str">
        <f aca="false">IF(AND(ISNUMBER(Timeline!$E22),ISNUMBER(Timeline!$F22),AG$4&lt;=Timeline!$F22,EOMONTH(AG$4,0)&gt;=Timeline!$E22),"C",IF(AND(ISNUMBER(Timeline!$F22),ISNUMBER(Timeline!$K22),AG$4&lt;=Timeline!$K22,EOMONTH(AG$4,0)&gt;Timeline!$F22),"P",IF(AND(ISNUMBER(Timeline!$H22),ISNUMBER(Timeline!$K22),NOT(ISNUMBER(Timeline!$F22)),AG$4&lt;=Timeline!$K22,EOMONTH(AG$4,0)&gt;=Timeline!$H22),"P",IF(AND(ISNUMBER(Timeline!$K22),ISNUMBER(Timeline!$O22),AG$4&lt;=Timeline!$O22,EOMONTH(AG$4,0)&gt;Timeline!$K22),"S",""))))</f>
        <v/>
      </c>
      <c r="AH17" s="17" t="str">
        <f aca="false">IF(AND(ISNUMBER(Timeline!$E22),ISNUMBER(Timeline!$F22),AH$4&lt;=Timeline!$F22,EOMONTH(AH$4,0)&gt;=Timeline!$E22),"C",IF(AND(ISNUMBER(Timeline!$F22),ISNUMBER(Timeline!$K22),AH$4&lt;=Timeline!$K22,EOMONTH(AH$4,0)&gt;Timeline!$F22),"P",IF(AND(ISNUMBER(Timeline!$H22),ISNUMBER(Timeline!$K22),NOT(ISNUMBER(Timeline!$F22)),AH$4&lt;=Timeline!$K22,EOMONTH(AH$4,0)&gt;=Timeline!$H22),"P",IF(AND(ISNUMBER(Timeline!$K22),ISNUMBER(Timeline!$O22),AH$4&lt;=Timeline!$O22,EOMONTH(AH$4,0)&gt;Timeline!$K22),"S",""))))</f>
        <v/>
      </c>
    </row>
    <row r="18" customFormat="false" ht="15" hidden="false" customHeight="false" outlineLevel="0" collapsed="false">
      <c r="A18" s="5" t="n">
        <v>14</v>
      </c>
      <c r="B18" s="16" t="s">
        <v>66</v>
      </c>
      <c r="C18" s="16" t="s">
        <v>26</v>
      </c>
      <c r="D18" s="17" t="str">
        <f aca="false">IF(AND(ISNUMBER(Timeline!$E23),ISNUMBER(Timeline!$F23),D$4&lt;=Timeline!$F23,EOMONTH(D$4,0)&gt;=Timeline!$E23),"C",IF(AND(ISNUMBER(Timeline!$F23),ISNUMBER(Timeline!$K23),D$4&lt;=Timeline!$K23,EOMONTH(D$4,0)&gt;Timeline!$F23),"P",IF(AND(ISNUMBER(Timeline!$H23),ISNUMBER(Timeline!$K23),NOT(ISNUMBER(Timeline!$F23)),D$4&lt;=Timeline!$K23,EOMONTH(D$4,0)&gt;=Timeline!$H23),"P",IF(AND(ISNUMBER(Timeline!$K23),ISNUMBER(Timeline!$O23),D$4&lt;=Timeline!$O23,EOMONTH(D$4,0)&gt;Timeline!$K23),"S",""))))</f>
        <v/>
      </c>
      <c r="E18" s="17" t="str">
        <f aca="false">IF(AND(ISNUMBER(Timeline!$E23),ISNUMBER(Timeline!$F23),E$4&lt;=Timeline!$F23,EOMONTH(E$4,0)&gt;=Timeline!$E23),"C",IF(AND(ISNUMBER(Timeline!$F23),ISNUMBER(Timeline!$K23),E$4&lt;=Timeline!$K23,EOMONTH(E$4,0)&gt;Timeline!$F23),"P",IF(AND(ISNUMBER(Timeline!$H23),ISNUMBER(Timeline!$K23),NOT(ISNUMBER(Timeline!$F23)),E$4&lt;=Timeline!$K23,EOMONTH(E$4,0)&gt;=Timeline!$H23),"P",IF(AND(ISNUMBER(Timeline!$K23),ISNUMBER(Timeline!$O23),E$4&lt;=Timeline!$O23,EOMONTH(E$4,0)&gt;Timeline!$K23),"S",""))))</f>
        <v/>
      </c>
      <c r="F18" s="17" t="str">
        <f aca="false">IF(AND(ISNUMBER(Timeline!$E23),ISNUMBER(Timeline!$F23),F$4&lt;=Timeline!$F23,EOMONTH(F$4,0)&gt;=Timeline!$E23),"C",IF(AND(ISNUMBER(Timeline!$F23),ISNUMBER(Timeline!$K23),F$4&lt;=Timeline!$K23,EOMONTH(F$4,0)&gt;Timeline!$F23),"P",IF(AND(ISNUMBER(Timeline!$H23),ISNUMBER(Timeline!$K23),NOT(ISNUMBER(Timeline!$F23)),F$4&lt;=Timeline!$K23,EOMONTH(F$4,0)&gt;=Timeline!$H23),"P",IF(AND(ISNUMBER(Timeline!$K23),ISNUMBER(Timeline!$O23),F$4&lt;=Timeline!$O23,EOMONTH(F$4,0)&gt;Timeline!$K23),"S",""))))</f>
        <v/>
      </c>
      <c r="G18" s="17" t="str">
        <f aca="false">IF(AND(ISNUMBER(Timeline!$E23),ISNUMBER(Timeline!$F23),G$4&lt;=Timeline!$F23,EOMONTH(G$4,0)&gt;=Timeline!$E23),"C",IF(AND(ISNUMBER(Timeline!$F23),ISNUMBER(Timeline!$K23),G$4&lt;=Timeline!$K23,EOMONTH(G$4,0)&gt;Timeline!$F23),"P",IF(AND(ISNUMBER(Timeline!$H23),ISNUMBER(Timeline!$K23),NOT(ISNUMBER(Timeline!$F23)),G$4&lt;=Timeline!$K23,EOMONTH(G$4,0)&gt;=Timeline!$H23),"P",IF(AND(ISNUMBER(Timeline!$K23),ISNUMBER(Timeline!$O23),G$4&lt;=Timeline!$O23,EOMONTH(G$4,0)&gt;Timeline!$K23),"S",""))))</f>
        <v/>
      </c>
      <c r="H18" s="17" t="str">
        <f aca="false">IF(AND(ISNUMBER(Timeline!$E23),ISNUMBER(Timeline!$F23),H$4&lt;=Timeline!$F23,EOMONTH(H$4,0)&gt;=Timeline!$E23),"C",IF(AND(ISNUMBER(Timeline!$F23),ISNUMBER(Timeline!$K23),H$4&lt;=Timeline!$K23,EOMONTH(H$4,0)&gt;Timeline!$F23),"P",IF(AND(ISNUMBER(Timeline!$H23),ISNUMBER(Timeline!$K23),NOT(ISNUMBER(Timeline!$F23)),H$4&lt;=Timeline!$K23,EOMONTH(H$4,0)&gt;=Timeline!$H23),"P",IF(AND(ISNUMBER(Timeline!$K23),ISNUMBER(Timeline!$O23),H$4&lt;=Timeline!$O23,EOMONTH(H$4,0)&gt;Timeline!$K23),"S",""))))</f>
        <v/>
      </c>
      <c r="I18" s="17" t="str">
        <f aca="false">IF(AND(ISNUMBER(Timeline!$E23),ISNUMBER(Timeline!$F23),I$4&lt;=Timeline!$F23,EOMONTH(I$4,0)&gt;=Timeline!$E23),"C",IF(AND(ISNUMBER(Timeline!$F23),ISNUMBER(Timeline!$K23),I$4&lt;=Timeline!$K23,EOMONTH(I$4,0)&gt;Timeline!$F23),"P",IF(AND(ISNUMBER(Timeline!$H23),ISNUMBER(Timeline!$K23),NOT(ISNUMBER(Timeline!$F23)),I$4&lt;=Timeline!$K23,EOMONTH(I$4,0)&gt;=Timeline!$H23),"P",IF(AND(ISNUMBER(Timeline!$K23),ISNUMBER(Timeline!$O23),I$4&lt;=Timeline!$O23,EOMONTH(I$4,0)&gt;Timeline!$K23),"S",""))))</f>
        <v/>
      </c>
      <c r="J18" s="17" t="str">
        <f aca="false">IF(AND(ISNUMBER(Timeline!$E23),ISNUMBER(Timeline!$F23),J$4&lt;=Timeline!$F23,EOMONTH(J$4,0)&gt;=Timeline!$E23),"C",IF(AND(ISNUMBER(Timeline!$F23),ISNUMBER(Timeline!$K23),J$4&lt;=Timeline!$K23,EOMONTH(J$4,0)&gt;Timeline!$F23),"P",IF(AND(ISNUMBER(Timeline!$H23),ISNUMBER(Timeline!$K23),NOT(ISNUMBER(Timeline!$F23)),J$4&lt;=Timeline!$K23,EOMONTH(J$4,0)&gt;=Timeline!$H23),"P",IF(AND(ISNUMBER(Timeline!$K23),ISNUMBER(Timeline!$O23),J$4&lt;=Timeline!$O23,EOMONTH(J$4,0)&gt;Timeline!$K23),"S",""))))</f>
        <v/>
      </c>
      <c r="K18" s="17" t="str">
        <f aca="false">IF(AND(ISNUMBER(Timeline!$E23),ISNUMBER(Timeline!$F23),K$4&lt;=Timeline!$F23,EOMONTH(K$4,0)&gt;=Timeline!$E23),"C",IF(AND(ISNUMBER(Timeline!$F23),ISNUMBER(Timeline!$K23),K$4&lt;=Timeline!$K23,EOMONTH(K$4,0)&gt;Timeline!$F23),"P",IF(AND(ISNUMBER(Timeline!$H23),ISNUMBER(Timeline!$K23),NOT(ISNUMBER(Timeline!$F23)),K$4&lt;=Timeline!$K23,EOMONTH(K$4,0)&gt;=Timeline!$H23),"P",IF(AND(ISNUMBER(Timeline!$K23),ISNUMBER(Timeline!$O23),K$4&lt;=Timeline!$O23,EOMONTH(K$4,0)&gt;Timeline!$K23),"S",""))))</f>
        <v>C</v>
      </c>
      <c r="L18" s="17" t="str">
        <f aca="false">IF(AND(ISNUMBER(Timeline!$E23),ISNUMBER(Timeline!$F23),L$4&lt;=Timeline!$F23,EOMONTH(L$4,0)&gt;=Timeline!$E23),"C",IF(AND(ISNUMBER(Timeline!$F23),ISNUMBER(Timeline!$K23),L$4&lt;=Timeline!$K23,EOMONTH(L$4,0)&gt;Timeline!$F23),"P",IF(AND(ISNUMBER(Timeline!$H23),ISNUMBER(Timeline!$K23),NOT(ISNUMBER(Timeline!$F23)),L$4&lt;=Timeline!$K23,EOMONTH(L$4,0)&gt;=Timeline!$H23),"P",IF(AND(ISNUMBER(Timeline!$K23),ISNUMBER(Timeline!$O23),L$4&lt;=Timeline!$O23,EOMONTH(L$4,0)&gt;Timeline!$K23),"S",""))))</f>
        <v>C</v>
      </c>
      <c r="M18" s="17" t="str">
        <f aca="false">IF(AND(ISNUMBER(Timeline!$E23),ISNUMBER(Timeline!$F23),M$4&lt;=Timeline!$F23,EOMONTH(M$4,0)&gt;=Timeline!$E23),"C",IF(AND(ISNUMBER(Timeline!$F23),ISNUMBER(Timeline!$K23),M$4&lt;=Timeline!$K23,EOMONTH(M$4,0)&gt;Timeline!$F23),"P",IF(AND(ISNUMBER(Timeline!$H23),ISNUMBER(Timeline!$K23),NOT(ISNUMBER(Timeline!$F23)),M$4&lt;=Timeline!$K23,EOMONTH(M$4,0)&gt;=Timeline!$H23),"P",IF(AND(ISNUMBER(Timeline!$K23),ISNUMBER(Timeline!$O23),M$4&lt;=Timeline!$O23,EOMONTH(M$4,0)&gt;Timeline!$K23),"S",""))))</f>
        <v>C</v>
      </c>
      <c r="N18" s="17" t="str">
        <f aca="false">IF(AND(ISNUMBER(Timeline!$E23),ISNUMBER(Timeline!$F23),N$4&lt;=Timeline!$F23,EOMONTH(N$4,0)&gt;=Timeline!$E23),"C",IF(AND(ISNUMBER(Timeline!$F23),ISNUMBER(Timeline!$K23),N$4&lt;=Timeline!$K23,EOMONTH(N$4,0)&gt;Timeline!$F23),"P",IF(AND(ISNUMBER(Timeline!$H23),ISNUMBER(Timeline!$K23),NOT(ISNUMBER(Timeline!$F23)),N$4&lt;=Timeline!$K23,EOMONTH(N$4,0)&gt;=Timeline!$H23),"P",IF(AND(ISNUMBER(Timeline!$K23),ISNUMBER(Timeline!$O23),N$4&lt;=Timeline!$O23,EOMONTH(N$4,0)&gt;Timeline!$K23),"S",""))))</f>
        <v>C</v>
      </c>
      <c r="O18" s="17" t="str">
        <f aca="false">IF(AND(ISNUMBER(Timeline!$E23),ISNUMBER(Timeline!$F23),O$4&lt;=Timeline!$F23,EOMONTH(O$4,0)&gt;=Timeline!$E23),"C",IF(AND(ISNUMBER(Timeline!$F23),ISNUMBER(Timeline!$K23),O$4&lt;=Timeline!$K23,EOMONTH(O$4,0)&gt;Timeline!$F23),"P",IF(AND(ISNUMBER(Timeline!$H23),ISNUMBER(Timeline!$K23),NOT(ISNUMBER(Timeline!$F23)),O$4&lt;=Timeline!$K23,EOMONTH(O$4,0)&gt;=Timeline!$H23),"P",IF(AND(ISNUMBER(Timeline!$K23),ISNUMBER(Timeline!$O23),O$4&lt;=Timeline!$O23,EOMONTH(O$4,0)&gt;Timeline!$K23),"S",""))))</f>
        <v>P</v>
      </c>
      <c r="P18" s="17" t="str">
        <f aca="false">IF(AND(ISNUMBER(Timeline!$E23),ISNUMBER(Timeline!$F23),P$4&lt;=Timeline!$F23,EOMONTH(P$4,0)&gt;=Timeline!$E23),"C",IF(AND(ISNUMBER(Timeline!$F23),ISNUMBER(Timeline!$K23),P$4&lt;=Timeline!$K23,EOMONTH(P$4,0)&gt;Timeline!$F23),"P",IF(AND(ISNUMBER(Timeline!$H23),ISNUMBER(Timeline!$K23),NOT(ISNUMBER(Timeline!$F23)),P$4&lt;=Timeline!$K23,EOMONTH(P$4,0)&gt;=Timeline!$H23),"P",IF(AND(ISNUMBER(Timeline!$K23),ISNUMBER(Timeline!$O23),P$4&lt;=Timeline!$O23,EOMONTH(P$4,0)&gt;Timeline!$K23),"S",""))))</f>
        <v>P</v>
      </c>
      <c r="Q18" s="17" t="str">
        <f aca="false">IF(AND(ISNUMBER(Timeline!$E23),ISNUMBER(Timeline!$F23),Q$4&lt;=Timeline!$F23,EOMONTH(Q$4,0)&gt;=Timeline!$E23),"C",IF(AND(ISNUMBER(Timeline!$F23),ISNUMBER(Timeline!$K23),Q$4&lt;=Timeline!$K23,EOMONTH(Q$4,0)&gt;Timeline!$F23),"P",IF(AND(ISNUMBER(Timeline!$H23),ISNUMBER(Timeline!$K23),NOT(ISNUMBER(Timeline!$F23)),Q$4&lt;=Timeline!$K23,EOMONTH(Q$4,0)&gt;=Timeline!$H23),"P",IF(AND(ISNUMBER(Timeline!$K23),ISNUMBER(Timeline!$O23),Q$4&lt;=Timeline!$O23,EOMONTH(Q$4,0)&gt;Timeline!$K23),"S",""))))</f>
        <v>P</v>
      </c>
      <c r="R18" s="17" t="str">
        <f aca="false">IF(AND(ISNUMBER(Timeline!$E23),ISNUMBER(Timeline!$F23),R$4&lt;=Timeline!$F23,EOMONTH(R$4,0)&gt;=Timeline!$E23),"C",IF(AND(ISNUMBER(Timeline!$F23),ISNUMBER(Timeline!$K23),R$4&lt;=Timeline!$K23,EOMONTH(R$4,0)&gt;Timeline!$F23),"P",IF(AND(ISNUMBER(Timeline!$H23),ISNUMBER(Timeline!$K23),NOT(ISNUMBER(Timeline!$F23)),R$4&lt;=Timeline!$K23,EOMONTH(R$4,0)&gt;=Timeline!$H23),"P",IF(AND(ISNUMBER(Timeline!$K23),ISNUMBER(Timeline!$O23),R$4&lt;=Timeline!$O23,EOMONTH(R$4,0)&gt;Timeline!$K23),"S",""))))</f>
        <v>P</v>
      </c>
      <c r="S18" s="17" t="str">
        <f aca="false">IF(AND(ISNUMBER(Timeline!$E23),ISNUMBER(Timeline!$F23),S$4&lt;=Timeline!$F23,EOMONTH(S$4,0)&gt;=Timeline!$E23),"C",IF(AND(ISNUMBER(Timeline!$F23),ISNUMBER(Timeline!$K23),S$4&lt;=Timeline!$K23,EOMONTH(S$4,0)&gt;Timeline!$F23),"P",IF(AND(ISNUMBER(Timeline!$H23),ISNUMBER(Timeline!$K23),NOT(ISNUMBER(Timeline!$F23)),S$4&lt;=Timeline!$K23,EOMONTH(S$4,0)&gt;=Timeline!$H23),"P",IF(AND(ISNUMBER(Timeline!$K23),ISNUMBER(Timeline!$O23),S$4&lt;=Timeline!$O23,EOMONTH(S$4,0)&gt;Timeline!$K23),"S",""))))</f>
        <v>P</v>
      </c>
      <c r="T18" s="17" t="str">
        <f aca="false">IF(AND(ISNUMBER(Timeline!$E23),ISNUMBER(Timeline!$F23),T$4&lt;=Timeline!$F23,EOMONTH(T$4,0)&gt;=Timeline!$E23),"C",IF(AND(ISNUMBER(Timeline!$F23),ISNUMBER(Timeline!$K23),T$4&lt;=Timeline!$K23,EOMONTH(T$4,0)&gt;Timeline!$F23),"P",IF(AND(ISNUMBER(Timeline!$H23),ISNUMBER(Timeline!$K23),NOT(ISNUMBER(Timeline!$F23)),T$4&lt;=Timeline!$K23,EOMONTH(T$4,0)&gt;=Timeline!$H23),"P",IF(AND(ISNUMBER(Timeline!$K23),ISNUMBER(Timeline!$O23),T$4&lt;=Timeline!$O23,EOMONTH(T$4,0)&gt;Timeline!$K23),"S",""))))</f>
        <v>P</v>
      </c>
      <c r="U18" s="17" t="str">
        <f aca="false">IF(AND(ISNUMBER(Timeline!$E23),ISNUMBER(Timeline!$F23),U$4&lt;=Timeline!$F23,EOMONTH(U$4,0)&gt;=Timeline!$E23),"C",IF(AND(ISNUMBER(Timeline!$F23),ISNUMBER(Timeline!$K23),U$4&lt;=Timeline!$K23,EOMONTH(U$4,0)&gt;Timeline!$F23),"P",IF(AND(ISNUMBER(Timeline!$H23),ISNUMBER(Timeline!$K23),NOT(ISNUMBER(Timeline!$F23)),U$4&lt;=Timeline!$K23,EOMONTH(U$4,0)&gt;=Timeline!$H23),"P",IF(AND(ISNUMBER(Timeline!$K23),ISNUMBER(Timeline!$O23),U$4&lt;=Timeline!$O23,EOMONTH(U$4,0)&gt;Timeline!$K23),"S",""))))</f>
        <v>P</v>
      </c>
      <c r="V18" s="17" t="str">
        <f aca="false">IF(AND(ISNUMBER(Timeline!$E23),ISNUMBER(Timeline!$F23),V$4&lt;=Timeline!$F23,EOMONTH(V$4,0)&gt;=Timeline!$E23),"C",IF(AND(ISNUMBER(Timeline!$F23),ISNUMBER(Timeline!$K23),V$4&lt;=Timeline!$K23,EOMONTH(V$4,0)&gt;Timeline!$F23),"P",IF(AND(ISNUMBER(Timeline!$H23),ISNUMBER(Timeline!$K23),NOT(ISNUMBER(Timeline!$F23)),V$4&lt;=Timeline!$K23,EOMONTH(V$4,0)&gt;=Timeline!$H23),"P",IF(AND(ISNUMBER(Timeline!$K23),ISNUMBER(Timeline!$O23),V$4&lt;=Timeline!$O23,EOMONTH(V$4,0)&gt;Timeline!$K23),"S",""))))</f>
        <v>P</v>
      </c>
      <c r="W18" s="17" t="str">
        <f aca="false">IF(AND(ISNUMBER(Timeline!$E23),ISNUMBER(Timeline!$F23),W$4&lt;=Timeline!$F23,EOMONTH(W$4,0)&gt;=Timeline!$E23),"C",IF(AND(ISNUMBER(Timeline!$F23),ISNUMBER(Timeline!$K23),W$4&lt;=Timeline!$K23,EOMONTH(W$4,0)&gt;Timeline!$F23),"P",IF(AND(ISNUMBER(Timeline!$H23),ISNUMBER(Timeline!$K23),NOT(ISNUMBER(Timeline!$F23)),W$4&lt;=Timeline!$K23,EOMONTH(W$4,0)&gt;=Timeline!$H23),"P",IF(AND(ISNUMBER(Timeline!$K23),ISNUMBER(Timeline!$O23),W$4&lt;=Timeline!$O23,EOMONTH(W$4,0)&gt;Timeline!$K23),"S",""))))</f>
        <v>P</v>
      </c>
      <c r="X18" s="17" t="str">
        <f aca="false">IF(AND(ISNUMBER(Timeline!$E23),ISNUMBER(Timeline!$F23),X$4&lt;=Timeline!$F23,EOMONTH(X$4,0)&gt;=Timeline!$E23),"C",IF(AND(ISNUMBER(Timeline!$F23),ISNUMBER(Timeline!$K23),X$4&lt;=Timeline!$K23,EOMONTH(X$4,0)&gt;Timeline!$F23),"P",IF(AND(ISNUMBER(Timeline!$H23),ISNUMBER(Timeline!$K23),NOT(ISNUMBER(Timeline!$F23)),X$4&lt;=Timeline!$K23,EOMONTH(X$4,0)&gt;=Timeline!$H23),"P",IF(AND(ISNUMBER(Timeline!$K23),ISNUMBER(Timeline!$O23),X$4&lt;=Timeline!$O23,EOMONTH(X$4,0)&gt;Timeline!$K23),"S",""))))</f>
        <v>S</v>
      </c>
      <c r="Y18" s="17" t="str">
        <f aca="false">IF(AND(ISNUMBER(Timeline!$E23),ISNUMBER(Timeline!$F23),Y$4&lt;=Timeline!$F23,EOMONTH(Y$4,0)&gt;=Timeline!$E23),"C",IF(AND(ISNUMBER(Timeline!$F23),ISNUMBER(Timeline!$K23),Y$4&lt;=Timeline!$K23,EOMONTH(Y$4,0)&gt;Timeline!$F23),"P",IF(AND(ISNUMBER(Timeline!$H23),ISNUMBER(Timeline!$K23),NOT(ISNUMBER(Timeline!$F23)),Y$4&lt;=Timeline!$K23,EOMONTH(Y$4,0)&gt;=Timeline!$H23),"P",IF(AND(ISNUMBER(Timeline!$K23),ISNUMBER(Timeline!$O23),Y$4&lt;=Timeline!$O23,EOMONTH(Y$4,0)&gt;Timeline!$K23),"S",""))))</f>
        <v>S</v>
      </c>
      <c r="Z18" s="17" t="str">
        <f aca="false">IF(AND(ISNUMBER(Timeline!$E23),ISNUMBER(Timeline!$F23),Z$4&lt;=Timeline!$F23,EOMONTH(Z$4,0)&gt;=Timeline!$E23),"C",IF(AND(ISNUMBER(Timeline!$F23),ISNUMBER(Timeline!$K23),Z$4&lt;=Timeline!$K23,EOMONTH(Z$4,0)&gt;Timeline!$F23),"P",IF(AND(ISNUMBER(Timeline!$H23),ISNUMBER(Timeline!$K23),NOT(ISNUMBER(Timeline!$F23)),Z$4&lt;=Timeline!$K23,EOMONTH(Z$4,0)&gt;=Timeline!$H23),"P",IF(AND(ISNUMBER(Timeline!$K23),ISNUMBER(Timeline!$O23),Z$4&lt;=Timeline!$O23,EOMONTH(Z$4,0)&gt;Timeline!$K23),"S",""))))</f>
        <v>S</v>
      </c>
      <c r="AA18" s="17" t="str">
        <f aca="false">IF(AND(ISNUMBER(Timeline!$E23),ISNUMBER(Timeline!$F23),AA$4&lt;=Timeline!$F23,EOMONTH(AA$4,0)&gt;=Timeline!$E23),"C",IF(AND(ISNUMBER(Timeline!$F23),ISNUMBER(Timeline!$K23),AA$4&lt;=Timeline!$K23,EOMONTH(AA$4,0)&gt;Timeline!$F23),"P",IF(AND(ISNUMBER(Timeline!$H23),ISNUMBER(Timeline!$K23),NOT(ISNUMBER(Timeline!$F23)),AA$4&lt;=Timeline!$K23,EOMONTH(AA$4,0)&gt;=Timeline!$H23),"P",IF(AND(ISNUMBER(Timeline!$K23),ISNUMBER(Timeline!$O23),AA$4&lt;=Timeline!$O23,EOMONTH(AA$4,0)&gt;Timeline!$K23),"S",""))))</f>
        <v>S</v>
      </c>
      <c r="AB18" s="17" t="str">
        <f aca="false">IF(AND(ISNUMBER(Timeline!$E23),ISNUMBER(Timeline!$F23),AB$4&lt;=Timeline!$F23,EOMONTH(AB$4,0)&gt;=Timeline!$E23),"C",IF(AND(ISNUMBER(Timeline!$F23),ISNUMBER(Timeline!$K23),AB$4&lt;=Timeline!$K23,EOMONTH(AB$4,0)&gt;Timeline!$F23),"P",IF(AND(ISNUMBER(Timeline!$H23),ISNUMBER(Timeline!$K23),NOT(ISNUMBER(Timeline!$F23)),AB$4&lt;=Timeline!$K23,EOMONTH(AB$4,0)&gt;=Timeline!$H23),"P",IF(AND(ISNUMBER(Timeline!$K23),ISNUMBER(Timeline!$O23),AB$4&lt;=Timeline!$O23,EOMONTH(AB$4,0)&gt;Timeline!$K23),"S",""))))</f>
        <v>S</v>
      </c>
      <c r="AC18" s="17" t="str">
        <f aca="false">IF(AND(ISNUMBER(Timeline!$E23),ISNUMBER(Timeline!$F23),AC$4&lt;=Timeline!$F23,EOMONTH(AC$4,0)&gt;=Timeline!$E23),"C",IF(AND(ISNUMBER(Timeline!$F23),ISNUMBER(Timeline!$K23),AC$4&lt;=Timeline!$K23,EOMONTH(AC$4,0)&gt;Timeline!$F23),"P",IF(AND(ISNUMBER(Timeline!$H23),ISNUMBER(Timeline!$K23),NOT(ISNUMBER(Timeline!$F23)),AC$4&lt;=Timeline!$K23,EOMONTH(AC$4,0)&gt;=Timeline!$H23),"P",IF(AND(ISNUMBER(Timeline!$K23),ISNUMBER(Timeline!$O23),AC$4&lt;=Timeline!$O23,EOMONTH(AC$4,0)&gt;Timeline!$K23),"S",""))))</f>
        <v/>
      </c>
      <c r="AD18" s="17" t="str">
        <f aca="false">IF(AND(ISNUMBER(Timeline!$E23),ISNUMBER(Timeline!$F23),AD$4&lt;=Timeline!$F23,EOMONTH(AD$4,0)&gt;=Timeline!$E23),"C",IF(AND(ISNUMBER(Timeline!$F23),ISNUMBER(Timeline!$K23),AD$4&lt;=Timeline!$K23,EOMONTH(AD$4,0)&gt;Timeline!$F23),"P",IF(AND(ISNUMBER(Timeline!$H23),ISNUMBER(Timeline!$K23),NOT(ISNUMBER(Timeline!$F23)),AD$4&lt;=Timeline!$K23,EOMONTH(AD$4,0)&gt;=Timeline!$H23),"P",IF(AND(ISNUMBER(Timeline!$K23),ISNUMBER(Timeline!$O23),AD$4&lt;=Timeline!$O23,EOMONTH(AD$4,0)&gt;Timeline!$K23),"S",""))))</f>
        <v/>
      </c>
      <c r="AE18" s="17" t="str">
        <f aca="false">IF(AND(ISNUMBER(Timeline!$E23),ISNUMBER(Timeline!$F23),AE$4&lt;=Timeline!$F23,EOMONTH(AE$4,0)&gt;=Timeline!$E23),"C",IF(AND(ISNUMBER(Timeline!$F23),ISNUMBER(Timeline!$K23),AE$4&lt;=Timeline!$K23,EOMONTH(AE$4,0)&gt;Timeline!$F23),"P",IF(AND(ISNUMBER(Timeline!$H23),ISNUMBER(Timeline!$K23),NOT(ISNUMBER(Timeline!$F23)),AE$4&lt;=Timeline!$K23,EOMONTH(AE$4,0)&gt;=Timeline!$H23),"P",IF(AND(ISNUMBER(Timeline!$K23),ISNUMBER(Timeline!$O23),AE$4&lt;=Timeline!$O23,EOMONTH(AE$4,0)&gt;Timeline!$K23),"S",""))))</f>
        <v/>
      </c>
      <c r="AF18" s="17" t="str">
        <f aca="false">IF(AND(ISNUMBER(Timeline!$E23),ISNUMBER(Timeline!$F23),AF$4&lt;=Timeline!$F23,EOMONTH(AF$4,0)&gt;=Timeline!$E23),"C",IF(AND(ISNUMBER(Timeline!$F23),ISNUMBER(Timeline!$K23),AF$4&lt;=Timeline!$K23,EOMONTH(AF$4,0)&gt;Timeline!$F23),"P",IF(AND(ISNUMBER(Timeline!$H23),ISNUMBER(Timeline!$K23),NOT(ISNUMBER(Timeline!$F23)),AF$4&lt;=Timeline!$K23,EOMONTH(AF$4,0)&gt;=Timeline!$H23),"P",IF(AND(ISNUMBER(Timeline!$K23),ISNUMBER(Timeline!$O23),AF$4&lt;=Timeline!$O23,EOMONTH(AF$4,0)&gt;Timeline!$K23),"S",""))))</f>
        <v/>
      </c>
      <c r="AG18" s="17" t="str">
        <f aca="false">IF(AND(ISNUMBER(Timeline!$E23),ISNUMBER(Timeline!$F23),AG$4&lt;=Timeline!$F23,EOMONTH(AG$4,0)&gt;=Timeline!$E23),"C",IF(AND(ISNUMBER(Timeline!$F23),ISNUMBER(Timeline!$K23),AG$4&lt;=Timeline!$K23,EOMONTH(AG$4,0)&gt;Timeline!$F23),"P",IF(AND(ISNUMBER(Timeline!$H23),ISNUMBER(Timeline!$K23),NOT(ISNUMBER(Timeline!$F23)),AG$4&lt;=Timeline!$K23,EOMONTH(AG$4,0)&gt;=Timeline!$H23),"P",IF(AND(ISNUMBER(Timeline!$K23),ISNUMBER(Timeline!$O23),AG$4&lt;=Timeline!$O23,EOMONTH(AG$4,0)&gt;Timeline!$K23),"S",""))))</f>
        <v/>
      </c>
      <c r="AH18" s="17" t="str">
        <f aca="false">IF(AND(ISNUMBER(Timeline!$E23),ISNUMBER(Timeline!$F23),AH$4&lt;=Timeline!$F23,EOMONTH(AH$4,0)&gt;=Timeline!$E23),"C",IF(AND(ISNUMBER(Timeline!$F23),ISNUMBER(Timeline!$K23),AH$4&lt;=Timeline!$K23,EOMONTH(AH$4,0)&gt;Timeline!$F23),"P",IF(AND(ISNUMBER(Timeline!$H23),ISNUMBER(Timeline!$K23),NOT(ISNUMBER(Timeline!$F23)),AH$4&lt;=Timeline!$K23,EOMONTH(AH$4,0)&gt;=Timeline!$H23),"P",IF(AND(ISNUMBER(Timeline!$K23),ISNUMBER(Timeline!$O23),AH$4&lt;=Timeline!$O23,EOMONTH(AH$4,0)&gt;Timeline!$K23),"S",""))))</f>
        <v/>
      </c>
    </row>
    <row r="19" customFormat="false" ht="15" hidden="false" customHeight="false" outlineLevel="0" collapsed="false">
      <c r="A19" s="5" t="n">
        <v>15</v>
      </c>
      <c r="B19" s="16" t="s">
        <v>69</v>
      </c>
      <c r="C19" s="16" t="s">
        <v>26</v>
      </c>
      <c r="D19" s="17" t="str">
        <f aca="false">IF(AND(ISNUMBER(Timeline!$E24),ISNUMBER(Timeline!$F24),D$4&lt;=Timeline!$F24,EOMONTH(D$4,0)&gt;=Timeline!$E24),"C",IF(AND(ISNUMBER(Timeline!$F24),ISNUMBER(Timeline!$K24),D$4&lt;=Timeline!$K24,EOMONTH(D$4,0)&gt;Timeline!$F24),"P",IF(AND(ISNUMBER(Timeline!$H24),ISNUMBER(Timeline!$K24),NOT(ISNUMBER(Timeline!$F24)),D$4&lt;=Timeline!$K24,EOMONTH(D$4,0)&gt;=Timeline!$H24),"P",IF(AND(ISNUMBER(Timeline!$K24),ISNUMBER(Timeline!$O24),D$4&lt;=Timeline!$O24,EOMONTH(D$4,0)&gt;Timeline!$K24),"S",""))))</f>
        <v/>
      </c>
      <c r="E19" s="17" t="str">
        <f aca="false">IF(AND(ISNUMBER(Timeline!$E24),ISNUMBER(Timeline!$F24),E$4&lt;=Timeline!$F24,EOMONTH(E$4,0)&gt;=Timeline!$E24),"C",IF(AND(ISNUMBER(Timeline!$F24),ISNUMBER(Timeline!$K24),E$4&lt;=Timeline!$K24,EOMONTH(E$4,0)&gt;Timeline!$F24),"P",IF(AND(ISNUMBER(Timeline!$H24),ISNUMBER(Timeline!$K24),NOT(ISNUMBER(Timeline!$F24)),E$4&lt;=Timeline!$K24,EOMONTH(E$4,0)&gt;=Timeline!$H24),"P",IF(AND(ISNUMBER(Timeline!$K24),ISNUMBER(Timeline!$O24),E$4&lt;=Timeline!$O24,EOMONTH(E$4,0)&gt;Timeline!$K24),"S",""))))</f>
        <v/>
      </c>
      <c r="F19" s="17" t="str">
        <f aca="false">IF(AND(ISNUMBER(Timeline!$E24),ISNUMBER(Timeline!$F24),F$4&lt;=Timeline!$F24,EOMONTH(F$4,0)&gt;=Timeline!$E24),"C",IF(AND(ISNUMBER(Timeline!$F24),ISNUMBER(Timeline!$K24),F$4&lt;=Timeline!$K24,EOMONTH(F$4,0)&gt;Timeline!$F24),"P",IF(AND(ISNUMBER(Timeline!$H24),ISNUMBER(Timeline!$K24),NOT(ISNUMBER(Timeline!$F24)),F$4&lt;=Timeline!$K24,EOMONTH(F$4,0)&gt;=Timeline!$H24),"P",IF(AND(ISNUMBER(Timeline!$K24),ISNUMBER(Timeline!$O24),F$4&lt;=Timeline!$O24,EOMONTH(F$4,0)&gt;Timeline!$K24),"S",""))))</f>
        <v/>
      </c>
      <c r="G19" s="17" t="str">
        <f aca="false">IF(AND(ISNUMBER(Timeline!$E24),ISNUMBER(Timeline!$F24),G$4&lt;=Timeline!$F24,EOMONTH(G$4,0)&gt;=Timeline!$E24),"C",IF(AND(ISNUMBER(Timeline!$F24),ISNUMBER(Timeline!$K24),G$4&lt;=Timeline!$K24,EOMONTH(G$4,0)&gt;Timeline!$F24),"P",IF(AND(ISNUMBER(Timeline!$H24),ISNUMBER(Timeline!$K24),NOT(ISNUMBER(Timeline!$F24)),G$4&lt;=Timeline!$K24,EOMONTH(G$4,0)&gt;=Timeline!$H24),"P",IF(AND(ISNUMBER(Timeline!$K24),ISNUMBER(Timeline!$O24),G$4&lt;=Timeline!$O24,EOMONTH(G$4,0)&gt;Timeline!$K24),"S",""))))</f>
        <v/>
      </c>
      <c r="H19" s="17" t="str">
        <f aca="false">IF(AND(ISNUMBER(Timeline!$E24),ISNUMBER(Timeline!$F24),H$4&lt;=Timeline!$F24,EOMONTH(H$4,0)&gt;=Timeline!$E24),"C",IF(AND(ISNUMBER(Timeline!$F24),ISNUMBER(Timeline!$K24),H$4&lt;=Timeline!$K24,EOMONTH(H$4,0)&gt;Timeline!$F24),"P",IF(AND(ISNUMBER(Timeline!$H24),ISNUMBER(Timeline!$K24),NOT(ISNUMBER(Timeline!$F24)),H$4&lt;=Timeline!$K24,EOMONTH(H$4,0)&gt;=Timeline!$H24),"P",IF(AND(ISNUMBER(Timeline!$K24),ISNUMBER(Timeline!$O24),H$4&lt;=Timeline!$O24,EOMONTH(H$4,0)&gt;Timeline!$K24),"S",""))))</f>
        <v/>
      </c>
      <c r="I19" s="17" t="str">
        <f aca="false">IF(AND(ISNUMBER(Timeline!$E24),ISNUMBER(Timeline!$F24),I$4&lt;=Timeline!$F24,EOMONTH(I$4,0)&gt;=Timeline!$E24),"C",IF(AND(ISNUMBER(Timeline!$F24),ISNUMBER(Timeline!$K24),I$4&lt;=Timeline!$K24,EOMONTH(I$4,0)&gt;Timeline!$F24),"P",IF(AND(ISNUMBER(Timeline!$H24),ISNUMBER(Timeline!$K24),NOT(ISNUMBER(Timeline!$F24)),I$4&lt;=Timeline!$K24,EOMONTH(I$4,0)&gt;=Timeline!$H24),"P",IF(AND(ISNUMBER(Timeline!$K24),ISNUMBER(Timeline!$O24),I$4&lt;=Timeline!$O24,EOMONTH(I$4,0)&gt;Timeline!$K24),"S",""))))</f>
        <v/>
      </c>
      <c r="J19" s="17" t="str">
        <f aca="false">IF(AND(ISNUMBER(Timeline!$E24),ISNUMBER(Timeline!$F24),J$4&lt;=Timeline!$F24,EOMONTH(J$4,0)&gt;=Timeline!$E24),"C",IF(AND(ISNUMBER(Timeline!$F24),ISNUMBER(Timeline!$K24),J$4&lt;=Timeline!$K24,EOMONTH(J$4,0)&gt;Timeline!$F24),"P",IF(AND(ISNUMBER(Timeline!$H24),ISNUMBER(Timeline!$K24),NOT(ISNUMBER(Timeline!$F24)),J$4&lt;=Timeline!$K24,EOMONTH(J$4,0)&gt;=Timeline!$H24),"P",IF(AND(ISNUMBER(Timeline!$K24),ISNUMBER(Timeline!$O24),J$4&lt;=Timeline!$O24,EOMONTH(J$4,0)&gt;Timeline!$K24),"S",""))))</f>
        <v/>
      </c>
      <c r="K19" s="17" t="str">
        <f aca="false">IF(AND(ISNUMBER(Timeline!$E24),ISNUMBER(Timeline!$F24),K$4&lt;=Timeline!$F24,EOMONTH(K$4,0)&gt;=Timeline!$E24),"C",IF(AND(ISNUMBER(Timeline!$F24),ISNUMBER(Timeline!$K24),K$4&lt;=Timeline!$K24,EOMONTH(K$4,0)&gt;Timeline!$F24),"P",IF(AND(ISNUMBER(Timeline!$H24),ISNUMBER(Timeline!$K24),NOT(ISNUMBER(Timeline!$F24)),K$4&lt;=Timeline!$K24,EOMONTH(K$4,0)&gt;=Timeline!$H24),"P",IF(AND(ISNUMBER(Timeline!$K24),ISNUMBER(Timeline!$O24),K$4&lt;=Timeline!$O24,EOMONTH(K$4,0)&gt;Timeline!$K24),"S",""))))</f>
        <v/>
      </c>
      <c r="L19" s="17" t="str">
        <f aca="false">IF(AND(ISNUMBER(Timeline!$E24),ISNUMBER(Timeline!$F24),L$4&lt;=Timeline!$F24,EOMONTH(L$4,0)&gt;=Timeline!$E24),"C",IF(AND(ISNUMBER(Timeline!$F24),ISNUMBER(Timeline!$K24),L$4&lt;=Timeline!$K24,EOMONTH(L$4,0)&gt;Timeline!$F24),"P",IF(AND(ISNUMBER(Timeline!$H24),ISNUMBER(Timeline!$K24),NOT(ISNUMBER(Timeline!$F24)),L$4&lt;=Timeline!$K24,EOMONTH(L$4,0)&gt;=Timeline!$H24),"P",IF(AND(ISNUMBER(Timeline!$K24),ISNUMBER(Timeline!$O24),L$4&lt;=Timeline!$O24,EOMONTH(L$4,0)&gt;Timeline!$K24),"S",""))))</f>
        <v/>
      </c>
      <c r="M19" s="17" t="str">
        <f aca="false">IF(AND(ISNUMBER(Timeline!$E24),ISNUMBER(Timeline!$F24),M$4&lt;=Timeline!$F24,EOMONTH(M$4,0)&gt;=Timeline!$E24),"C",IF(AND(ISNUMBER(Timeline!$F24),ISNUMBER(Timeline!$K24),M$4&lt;=Timeline!$K24,EOMONTH(M$4,0)&gt;Timeline!$F24),"P",IF(AND(ISNUMBER(Timeline!$H24),ISNUMBER(Timeline!$K24),NOT(ISNUMBER(Timeline!$F24)),M$4&lt;=Timeline!$K24,EOMONTH(M$4,0)&gt;=Timeline!$H24),"P",IF(AND(ISNUMBER(Timeline!$K24),ISNUMBER(Timeline!$O24),M$4&lt;=Timeline!$O24,EOMONTH(M$4,0)&gt;Timeline!$K24),"S",""))))</f>
        <v>P</v>
      </c>
      <c r="N19" s="17" t="str">
        <f aca="false">IF(AND(ISNUMBER(Timeline!$E24),ISNUMBER(Timeline!$F24),N$4&lt;=Timeline!$F24,EOMONTH(N$4,0)&gt;=Timeline!$E24),"C",IF(AND(ISNUMBER(Timeline!$F24),ISNUMBER(Timeline!$K24),N$4&lt;=Timeline!$K24,EOMONTH(N$4,0)&gt;Timeline!$F24),"P",IF(AND(ISNUMBER(Timeline!$H24),ISNUMBER(Timeline!$K24),NOT(ISNUMBER(Timeline!$F24)),N$4&lt;=Timeline!$K24,EOMONTH(N$4,0)&gt;=Timeline!$H24),"P",IF(AND(ISNUMBER(Timeline!$K24),ISNUMBER(Timeline!$O24),N$4&lt;=Timeline!$O24,EOMONTH(N$4,0)&gt;Timeline!$K24),"S",""))))</f>
        <v>P</v>
      </c>
      <c r="O19" s="17" t="str">
        <f aca="false">IF(AND(ISNUMBER(Timeline!$E24),ISNUMBER(Timeline!$F24),O$4&lt;=Timeline!$F24,EOMONTH(O$4,0)&gt;=Timeline!$E24),"C",IF(AND(ISNUMBER(Timeline!$F24),ISNUMBER(Timeline!$K24),O$4&lt;=Timeline!$K24,EOMONTH(O$4,0)&gt;Timeline!$F24),"P",IF(AND(ISNUMBER(Timeline!$H24),ISNUMBER(Timeline!$K24),NOT(ISNUMBER(Timeline!$F24)),O$4&lt;=Timeline!$K24,EOMONTH(O$4,0)&gt;=Timeline!$H24),"P",IF(AND(ISNUMBER(Timeline!$K24),ISNUMBER(Timeline!$O24),O$4&lt;=Timeline!$O24,EOMONTH(O$4,0)&gt;Timeline!$K24),"S",""))))</f>
        <v>P</v>
      </c>
      <c r="P19" s="17" t="str">
        <f aca="false">IF(AND(ISNUMBER(Timeline!$E24),ISNUMBER(Timeline!$F24),P$4&lt;=Timeline!$F24,EOMONTH(P$4,0)&gt;=Timeline!$E24),"C",IF(AND(ISNUMBER(Timeline!$F24),ISNUMBER(Timeline!$K24),P$4&lt;=Timeline!$K24,EOMONTH(P$4,0)&gt;Timeline!$F24),"P",IF(AND(ISNUMBER(Timeline!$H24),ISNUMBER(Timeline!$K24),NOT(ISNUMBER(Timeline!$F24)),P$4&lt;=Timeline!$K24,EOMONTH(P$4,0)&gt;=Timeline!$H24),"P",IF(AND(ISNUMBER(Timeline!$K24),ISNUMBER(Timeline!$O24),P$4&lt;=Timeline!$O24,EOMONTH(P$4,0)&gt;Timeline!$K24),"S",""))))</f>
        <v>P</v>
      </c>
      <c r="Q19" s="17" t="str">
        <f aca="false">IF(AND(ISNUMBER(Timeline!$E24),ISNUMBER(Timeline!$F24),Q$4&lt;=Timeline!$F24,EOMONTH(Q$4,0)&gt;=Timeline!$E24),"C",IF(AND(ISNUMBER(Timeline!$F24),ISNUMBER(Timeline!$K24),Q$4&lt;=Timeline!$K24,EOMONTH(Q$4,0)&gt;Timeline!$F24),"P",IF(AND(ISNUMBER(Timeline!$H24),ISNUMBER(Timeline!$K24),NOT(ISNUMBER(Timeline!$F24)),Q$4&lt;=Timeline!$K24,EOMONTH(Q$4,0)&gt;=Timeline!$H24),"P",IF(AND(ISNUMBER(Timeline!$K24),ISNUMBER(Timeline!$O24),Q$4&lt;=Timeline!$O24,EOMONTH(Q$4,0)&gt;Timeline!$K24),"S",""))))</f>
        <v>P</v>
      </c>
      <c r="R19" s="17" t="str">
        <f aca="false">IF(AND(ISNUMBER(Timeline!$E24),ISNUMBER(Timeline!$F24),R$4&lt;=Timeline!$F24,EOMONTH(R$4,0)&gt;=Timeline!$E24),"C",IF(AND(ISNUMBER(Timeline!$F24),ISNUMBER(Timeline!$K24),R$4&lt;=Timeline!$K24,EOMONTH(R$4,0)&gt;Timeline!$F24),"P",IF(AND(ISNUMBER(Timeline!$H24),ISNUMBER(Timeline!$K24),NOT(ISNUMBER(Timeline!$F24)),R$4&lt;=Timeline!$K24,EOMONTH(R$4,0)&gt;=Timeline!$H24),"P",IF(AND(ISNUMBER(Timeline!$K24),ISNUMBER(Timeline!$O24),R$4&lt;=Timeline!$O24,EOMONTH(R$4,0)&gt;Timeline!$K24),"S",""))))</f>
        <v>P</v>
      </c>
      <c r="S19" s="17" t="str">
        <f aca="false">IF(AND(ISNUMBER(Timeline!$E24),ISNUMBER(Timeline!$F24),S$4&lt;=Timeline!$F24,EOMONTH(S$4,0)&gt;=Timeline!$E24),"C",IF(AND(ISNUMBER(Timeline!$F24),ISNUMBER(Timeline!$K24),S$4&lt;=Timeline!$K24,EOMONTH(S$4,0)&gt;Timeline!$F24),"P",IF(AND(ISNUMBER(Timeline!$H24),ISNUMBER(Timeline!$K24),NOT(ISNUMBER(Timeline!$F24)),S$4&lt;=Timeline!$K24,EOMONTH(S$4,0)&gt;=Timeline!$H24),"P",IF(AND(ISNUMBER(Timeline!$K24),ISNUMBER(Timeline!$O24),S$4&lt;=Timeline!$O24,EOMONTH(S$4,0)&gt;Timeline!$K24),"S",""))))</f>
        <v>P</v>
      </c>
      <c r="T19" s="17" t="str">
        <f aca="false">IF(AND(ISNUMBER(Timeline!$E24),ISNUMBER(Timeline!$F24),T$4&lt;=Timeline!$F24,EOMONTH(T$4,0)&gt;=Timeline!$E24),"C",IF(AND(ISNUMBER(Timeline!$F24),ISNUMBER(Timeline!$K24),T$4&lt;=Timeline!$K24,EOMONTH(T$4,0)&gt;Timeline!$F24),"P",IF(AND(ISNUMBER(Timeline!$H24),ISNUMBER(Timeline!$K24),NOT(ISNUMBER(Timeline!$F24)),T$4&lt;=Timeline!$K24,EOMONTH(T$4,0)&gt;=Timeline!$H24),"P",IF(AND(ISNUMBER(Timeline!$K24),ISNUMBER(Timeline!$O24),T$4&lt;=Timeline!$O24,EOMONTH(T$4,0)&gt;Timeline!$K24),"S",""))))</f>
        <v>P</v>
      </c>
      <c r="U19" s="17" t="str">
        <f aca="false">IF(AND(ISNUMBER(Timeline!$E24),ISNUMBER(Timeline!$F24),U$4&lt;=Timeline!$F24,EOMONTH(U$4,0)&gt;=Timeline!$E24),"C",IF(AND(ISNUMBER(Timeline!$F24),ISNUMBER(Timeline!$K24),U$4&lt;=Timeline!$K24,EOMONTH(U$4,0)&gt;Timeline!$F24),"P",IF(AND(ISNUMBER(Timeline!$H24),ISNUMBER(Timeline!$K24),NOT(ISNUMBER(Timeline!$F24)),U$4&lt;=Timeline!$K24,EOMONTH(U$4,0)&gt;=Timeline!$H24),"P",IF(AND(ISNUMBER(Timeline!$K24),ISNUMBER(Timeline!$O24),U$4&lt;=Timeline!$O24,EOMONTH(U$4,0)&gt;Timeline!$K24),"S",""))))</f>
        <v>P</v>
      </c>
      <c r="V19" s="17" t="str">
        <f aca="false">IF(AND(ISNUMBER(Timeline!$E24),ISNUMBER(Timeline!$F24),V$4&lt;=Timeline!$F24,EOMONTH(V$4,0)&gt;=Timeline!$E24),"C",IF(AND(ISNUMBER(Timeline!$F24),ISNUMBER(Timeline!$K24),V$4&lt;=Timeline!$K24,EOMONTH(V$4,0)&gt;Timeline!$F24),"P",IF(AND(ISNUMBER(Timeline!$H24),ISNUMBER(Timeline!$K24),NOT(ISNUMBER(Timeline!$F24)),V$4&lt;=Timeline!$K24,EOMONTH(V$4,0)&gt;=Timeline!$H24),"P",IF(AND(ISNUMBER(Timeline!$K24),ISNUMBER(Timeline!$O24),V$4&lt;=Timeline!$O24,EOMONTH(V$4,0)&gt;Timeline!$K24),"S",""))))</f>
        <v>P</v>
      </c>
      <c r="W19" s="17" t="str">
        <f aca="false">IF(AND(ISNUMBER(Timeline!$E24),ISNUMBER(Timeline!$F24),W$4&lt;=Timeline!$F24,EOMONTH(W$4,0)&gt;=Timeline!$E24),"C",IF(AND(ISNUMBER(Timeline!$F24),ISNUMBER(Timeline!$K24),W$4&lt;=Timeline!$K24,EOMONTH(W$4,0)&gt;Timeline!$F24),"P",IF(AND(ISNUMBER(Timeline!$H24),ISNUMBER(Timeline!$K24),NOT(ISNUMBER(Timeline!$F24)),W$4&lt;=Timeline!$K24,EOMONTH(W$4,0)&gt;=Timeline!$H24),"P",IF(AND(ISNUMBER(Timeline!$K24),ISNUMBER(Timeline!$O24),W$4&lt;=Timeline!$O24,EOMONTH(W$4,0)&gt;Timeline!$K24),"S",""))))</f>
        <v>P</v>
      </c>
      <c r="X19" s="17" t="str">
        <f aca="false">IF(AND(ISNUMBER(Timeline!$E24),ISNUMBER(Timeline!$F24),X$4&lt;=Timeline!$F24,EOMONTH(X$4,0)&gt;=Timeline!$E24),"C",IF(AND(ISNUMBER(Timeline!$F24),ISNUMBER(Timeline!$K24),X$4&lt;=Timeline!$K24,EOMONTH(X$4,0)&gt;Timeline!$F24),"P",IF(AND(ISNUMBER(Timeline!$H24),ISNUMBER(Timeline!$K24),NOT(ISNUMBER(Timeline!$F24)),X$4&lt;=Timeline!$K24,EOMONTH(X$4,0)&gt;=Timeline!$H24),"P",IF(AND(ISNUMBER(Timeline!$K24),ISNUMBER(Timeline!$O24),X$4&lt;=Timeline!$O24,EOMONTH(X$4,0)&gt;Timeline!$K24),"S",""))))</f>
        <v>S</v>
      </c>
      <c r="Y19" s="17" t="str">
        <f aca="false">IF(AND(ISNUMBER(Timeline!$E24),ISNUMBER(Timeline!$F24),Y$4&lt;=Timeline!$F24,EOMONTH(Y$4,0)&gt;=Timeline!$E24),"C",IF(AND(ISNUMBER(Timeline!$F24),ISNUMBER(Timeline!$K24),Y$4&lt;=Timeline!$K24,EOMONTH(Y$4,0)&gt;Timeline!$F24),"P",IF(AND(ISNUMBER(Timeline!$H24),ISNUMBER(Timeline!$K24),NOT(ISNUMBER(Timeline!$F24)),Y$4&lt;=Timeline!$K24,EOMONTH(Y$4,0)&gt;=Timeline!$H24),"P",IF(AND(ISNUMBER(Timeline!$K24),ISNUMBER(Timeline!$O24),Y$4&lt;=Timeline!$O24,EOMONTH(Y$4,0)&gt;Timeline!$K24),"S",""))))</f>
        <v>S</v>
      </c>
      <c r="Z19" s="17" t="str">
        <f aca="false">IF(AND(ISNUMBER(Timeline!$E24),ISNUMBER(Timeline!$F24),Z$4&lt;=Timeline!$F24,EOMONTH(Z$4,0)&gt;=Timeline!$E24),"C",IF(AND(ISNUMBER(Timeline!$F24),ISNUMBER(Timeline!$K24),Z$4&lt;=Timeline!$K24,EOMONTH(Z$4,0)&gt;Timeline!$F24),"P",IF(AND(ISNUMBER(Timeline!$H24),ISNUMBER(Timeline!$K24),NOT(ISNUMBER(Timeline!$F24)),Z$4&lt;=Timeline!$K24,EOMONTH(Z$4,0)&gt;=Timeline!$H24),"P",IF(AND(ISNUMBER(Timeline!$K24),ISNUMBER(Timeline!$O24),Z$4&lt;=Timeline!$O24,EOMONTH(Z$4,0)&gt;Timeline!$K24),"S",""))))</f>
        <v>S</v>
      </c>
      <c r="AA19" s="17" t="str">
        <f aca="false">IF(AND(ISNUMBER(Timeline!$E24),ISNUMBER(Timeline!$F24),AA$4&lt;=Timeline!$F24,EOMONTH(AA$4,0)&gt;=Timeline!$E24),"C",IF(AND(ISNUMBER(Timeline!$F24),ISNUMBER(Timeline!$K24),AA$4&lt;=Timeline!$K24,EOMONTH(AA$4,0)&gt;Timeline!$F24),"P",IF(AND(ISNUMBER(Timeline!$H24),ISNUMBER(Timeline!$K24),NOT(ISNUMBER(Timeline!$F24)),AA$4&lt;=Timeline!$K24,EOMONTH(AA$4,0)&gt;=Timeline!$H24),"P",IF(AND(ISNUMBER(Timeline!$K24),ISNUMBER(Timeline!$O24),AA$4&lt;=Timeline!$O24,EOMONTH(AA$4,0)&gt;Timeline!$K24),"S",""))))</f>
        <v>S</v>
      </c>
      <c r="AB19" s="17" t="str">
        <f aca="false">IF(AND(ISNUMBER(Timeline!$E24),ISNUMBER(Timeline!$F24),AB$4&lt;=Timeline!$F24,EOMONTH(AB$4,0)&gt;=Timeline!$E24),"C",IF(AND(ISNUMBER(Timeline!$F24),ISNUMBER(Timeline!$K24),AB$4&lt;=Timeline!$K24,EOMONTH(AB$4,0)&gt;Timeline!$F24),"P",IF(AND(ISNUMBER(Timeline!$H24),ISNUMBER(Timeline!$K24),NOT(ISNUMBER(Timeline!$F24)),AB$4&lt;=Timeline!$K24,EOMONTH(AB$4,0)&gt;=Timeline!$H24),"P",IF(AND(ISNUMBER(Timeline!$K24),ISNUMBER(Timeline!$O24),AB$4&lt;=Timeline!$O24,EOMONTH(AB$4,0)&gt;Timeline!$K24),"S",""))))</f>
        <v/>
      </c>
      <c r="AC19" s="17" t="str">
        <f aca="false">IF(AND(ISNUMBER(Timeline!$E24),ISNUMBER(Timeline!$F24),AC$4&lt;=Timeline!$F24,EOMONTH(AC$4,0)&gt;=Timeline!$E24),"C",IF(AND(ISNUMBER(Timeline!$F24),ISNUMBER(Timeline!$K24),AC$4&lt;=Timeline!$K24,EOMONTH(AC$4,0)&gt;Timeline!$F24),"P",IF(AND(ISNUMBER(Timeline!$H24),ISNUMBER(Timeline!$K24),NOT(ISNUMBER(Timeline!$F24)),AC$4&lt;=Timeline!$K24,EOMONTH(AC$4,0)&gt;=Timeline!$H24),"P",IF(AND(ISNUMBER(Timeline!$K24),ISNUMBER(Timeline!$O24),AC$4&lt;=Timeline!$O24,EOMONTH(AC$4,0)&gt;Timeline!$K24),"S",""))))</f>
        <v/>
      </c>
      <c r="AD19" s="17" t="str">
        <f aca="false">IF(AND(ISNUMBER(Timeline!$E24),ISNUMBER(Timeline!$F24),AD$4&lt;=Timeline!$F24,EOMONTH(AD$4,0)&gt;=Timeline!$E24),"C",IF(AND(ISNUMBER(Timeline!$F24),ISNUMBER(Timeline!$K24),AD$4&lt;=Timeline!$K24,EOMONTH(AD$4,0)&gt;Timeline!$F24),"P",IF(AND(ISNUMBER(Timeline!$H24),ISNUMBER(Timeline!$K24),NOT(ISNUMBER(Timeline!$F24)),AD$4&lt;=Timeline!$K24,EOMONTH(AD$4,0)&gt;=Timeline!$H24),"P",IF(AND(ISNUMBER(Timeline!$K24),ISNUMBER(Timeline!$O24),AD$4&lt;=Timeline!$O24,EOMONTH(AD$4,0)&gt;Timeline!$K24),"S",""))))</f>
        <v/>
      </c>
      <c r="AE19" s="17" t="str">
        <f aca="false">IF(AND(ISNUMBER(Timeline!$E24),ISNUMBER(Timeline!$F24),AE$4&lt;=Timeline!$F24,EOMONTH(AE$4,0)&gt;=Timeline!$E24),"C",IF(AND(ISNUMBER(Timeline!$F24),ISNUMBER(Timeline!$K24),AE$4&lt;=Timeline!$K24,EOMONTH(AE$4,0)&gt;Timeline!$F24),"P",IF(AND(ISNUMBER(Timeline!$H24),ISNUMBER(Timeline!$K24),NOT(ISNUMBER(Timeline!$F24)),AE$4&lt;=Timeline!$K24,EOMONTH(AE$4,0)&gt;=Timeline!$H24),"P",IF(AND(ISNUMBER(Timeline!$K24),ISNUMBER(Timeline!$O24),AE$4&lt;=Timeline!$O24,EOMONTH(AE$4,0)&gt;Timeline!$K24),"S",""))))</f>
        <v/>
      </c>
      <c r="AF19" s="17" t="str">
        <f aca="false">IF(AND(ISNUMBER(Timeline!$E24),ISNUMBER(Timeline!$F24),AF$4&lt;=Timeline!$F24,EOMONTH(AF$4,0)&gt;=Timeline!$E24),"C",IF(AND(ISNUMBER(Timeline!$F24),ISNUMBER(Timeline!$K24),AF$4&lt;=Timeline!$K24,EOMONTH(AF$4,0)&gt;Timeline!$F24),"P",IF(AND(ISNUMBER(Timeline!$H24),ISNUMBER(Timeline!$K24),NOT(ISNUMBER(Timeline!$F24)),AF$4&lt;=Timeline!$K24,EOMONTH(AF$4,0)&gt;=Timeline!$H24),"P",IF(AND(ISNUMBER(Timeline!$K24),ISNUMBER(Timeline!$O24),AF$4&lt;=Timeline!$O24,EOMONTH(AF$4,0)&gt;Timeline!$K24),"S",""))))</f>
        <v/>
      </c>
      <c r="AG19" s="17" t="str">
        <f aca="false">IF(AND(ISNUMBER(Timeline!$E24),ISNUMBER(Timeline!$F24),AG$4&lt;=Timeline!$F24,EOMONTH(AG$4,0)&gt;=Timeline!$E24),"C",IF(AND(ISNUMBER(Timeline!$F24),ISNUMBER(Timeline!$K24),AG$4&lt;=Timeline!$K24,EOMONTH(AG$4,0)&gt;Timeline!$F24),"P",IF(AND(ISNUMBER(Timeline!$H24),ISNUMBER(Timeline!$K24),NOT(ISNUMBER(Timeline!$F24)),AG$4&lt;=Timeline!$K24,EOMONTH(AG$4,0)&gt;=Timeline!$H24),"P",IF(AND(ISNUMBER(Timeline!$K24),ISNUMBER(Timeline!$O24),AG$4&lt;=Timeline!$O24,EOMONTH(AG$4,0)&gt;Timeline!$K24),"S",""))))</f>
        <v/>
      </c>
      <c r="AH19" s="17" t="str">
        <f aca="false">IF(AND(ISNUMBER(Timeline!$E24),ISNUMBER(Timeline!$F24),AH$4&lt;=Timeline!$F24,EOMONTH(AH$4,0)&gt;=Timeline!$E24),"C",IF(AND(ISNUMBER(Timeline!$F24),ISNUMBER(Timeline!$K24),AH$4&lt;=Timeline!$K24,EOMONTH(AH$4,0)&gt;Timeline!$F24),"P",IF(AND(ISNUMBER(Timeline!$H24),ISNUMBER(Timeline!$K24),NOT(ISNUMBER(Timeline!$F24)),AH$4&lt;=Timeline!$K24,EOMONTH(AH$4,0)&gt;=Timeline!$H24),"P",IF(AND(ISNUMBER(Timeline!$K24),ISNUMBER(Timeline!$O24),AH$4&lt;=Timeline!$O24,EOMONTH(AH$4,0)&gt;Timeline!$K24),"S",""))))</f>
        <v/>
      </c>
    </row>
    <row r="20" customFormat="false" ht="15" hidden="false" customHeight="false" outlineLevel="0" collapsed="false">
      <c r="A20" s="5" t="n">
        <v>16</v>
      </c>
      <c r="B20" s="16" t="s">
        <v>72</v>
      </c>
      <c r="C20" s="16" t="s">
        <v>55</v>
      </c>
      <c r="D20" s="17" t="str">
        <f aca="false">IF(AND(ISNUMBER(Timeline!$E25),ISNUMBER(Timeline!$F25),D$4&lt;=Timeline!$F25,EOMONTH(D$4,0)&gt;=Timeline!$E25),"C",IF(AND(ISNUMBER(Timeline!$F25),ISNUMBER(Timeline!$K25),D$4&lt;=Timeline!$K25,EOMONTH(D$4,0)&gt;Timeline!$F25),"P",IF(AND(ISNUMBER(Timeline!$H25),ISNUMBER(Timeline!$K25),NOT(ISNUMBER(Timeline!$F25)),D$4&lt;=Timeline!$K25,EOMONTH(D$4,0)&gt;=Timeline!$H25),"P",IF(AND(ISNUMBER(Timeline!$K25),ISNUMBER(Timeline!$O25),D$4&lt;=Timeline!$O25,EOMONTH(D$4,0)&gt;Timeline!$K25),"S",""))))</f>
        <v/>
      </c>
      <c r="E20" s="17" t="str">
        <f aca="false">IF(AND(ISNUMBER(Timeline!$E25),ISNUMBER(Timeline!$F25),E$4&lt;=Timeline!$F25,EOMONTH(E$4,0)&gt;=Timeline!$E25),"C",IF(AND(ISNUMBER(Timeline!$F25),ISNUMBER(Timeline!$K25),E$4&lt;=Timeline!$K25,EOMONTH(E$4,0)&gt;Timeline!$F25),"P",IF(AND(ISNUMBER(Timeline!$H25),ISNUMBER(Timeline!$K25),NOT(ISNUMBER(Timeline!$F25)),E$4&lt;=Timeline!$K25,EOMONTH(E$4,0)&gt;=Timeline!$H25),"P",IF(AND(ISNUMBER(Timeline!$K25),ISNUMBER(Timeline!$O25),E$4&lt;=Timeline!$O25,EOMONTH(E$4,0)&gt;Timeline!$K25),"S",""))))</f>
        <v/>
      </c>
      <c r="F20" s="17" t="str">
        <f aca="false">IF(AND(ISNUMBER(Timeline!$E25),ISNUMBER(Timeline!$F25),F$4&lt;=Timeline!$F25,EOMONTH(F$4,0)&gt;=Timeline!$E25),"C",IF(AND(ISNUMBER(Timeline!$F25),ISNUMBER(Timeline!$K25),F$4&lt;=Timeline!$K25,EOMONTH(F$4,0)&gt;Timeline!$F25),"P",IF(AND(ISNUMBER(Timeline!$H25),ISNUMBER(Timeline!$K25),NOT(ISNUMBER(Timeline!$F25)),F$4&lt;=Timeline!$K25,EOMONTH(F$4,0)&gt;=Timeline!$H25),"P",IF(AND(ISNUMBER(Timeline!$K25),ISNUMBER(Timeline!$O25),F$4&lt;=Timeline!$O25,EOMONTH(F$4,0)&gt;Timeline!$K25),"S",""))))</f>
        <v/>
      </c>
      <c r="G20" s="17" t="str">
        <f aca="false">IF(AND(ISNUMBER(Timeline!$E25),ISNUMBER(Timeline!$F25),G$4&lt;=Timeline!$F25,EOMONTH(G$4,0)&gt;=Timeline!$E25),"C",IF(AND(ISNUMBER(Timeline!$F25),ISNUMBER(Timeline!$K25),G$4&lt;=Timeline!$K25,EOMONTH(G$4,0)&gt;Timeline!$F25),"P",IF(AND(ISNUMBER(Timeline!$H25),ISNUMBER(Timeline!$K25),NOT(ISNUMBER(Timeline!$F25)),G$4&lt;=Timeline!$K25,EOMONTH(G$4,0)&gt;=Timeline!$H25),"P",IF(AND(ISNUMBER(Timeline!$K25),ISNUMBER(Timeline!$O25),G$4&lt;=Timeline!$O25,EOMONTH(G$4,0)&gt;Timeline!$K25),"S",""))))</f>
        <v/>
      </c>
      <c r="H20" s="17" t="str">
        <f aca="false">IF(AND(ISNUMBER(Timeline!$E25),ISNUMBER(Timeline!$F25),H$4&lt;=Timeline!$F25,EOMONTH(H$4,0)&gt;=Timeline!$E25),"C",IF(AND(ISNUMBER(Timeline!$F25),ISNUMBER(Timeline!$K25),H$4&lt;=Timeline!$K25,EOMONTH(H$4,0)&gt;Timeline!$F25),"P",IF(AND(ISNUMBER(Timeline!$H25),ISNUMBER(Timeline!$K25),NOT(ISNUMBER(Timeline!$F25)),H$4&lt;=Timeline!$K25,EOMONTH(H$4,0)&gt;=Timeline!$H25),"P",IF(AND(ISNUMBER(Timeline!$K25),ISNUMBER(Timeline!$O25),H$4&lt;=Timeline!$O25,EOMONTH(H$4,0)&gt;Timeline!$K25),"S",""))))</f>
        <v/>
      </c>
      <c r="I20" s="17" t="str">
        <f aca="false">IF(AND(ISNUMBER(Timeline!$E25),ISNUMBER(Timeline!$F25),I$4&lt;=Timeline!$F25,EOMONTH(I$4,0)&gt;=Timeline!$E25),"C",IF(AND(ISNUMBER(Timeline!$F25),ISNUMBER(Timeline!$K25),I$4&lt;=Timeline!$K25,EOMONTH(I$4,0)&gt;Timeline!$F25),"P",IF(AND(ISNUMBER(Timeline!$H25),ISNUMBER(Timeline!$K25),NOT(ISNUMBER(Timeline!$F25)),I$4&lt;=Timeline!$K25,EOMONTH(I$4,0)&gt;=Timeline!$H25),"P",IF(AND(ISNUMBER(Timeline!$K25),ISNUMBER(Timeline!$O25),I$4&lt;=Timeline!$O25,EOMONTH(I$4,0)&gt;Timeline!$K25),"S",""))))</f>
        <v/>
      </c>
      <c r="J20" s="17" t="str">
        <f aca="false">IF(AND(ISNUMBER(Timeline!$E25),ISNUMBER(Timeline!$F25),J$4&lt;=Timeline!$F25,EOMONTH(J$4,0)&gt;=Timeline!$E25),"C",IF(AND(ISNUMBER(Timeline!$F25),ISNUMBER(Timeline!$K25),J$4&lt;=Timeline!$K25,EOMONTH(J$4,0)&gt;Timeline!$F25),"P",IF(AND(ISNUMBER(Timeline!$H25),ISNUMBER(Timeline!$K25),NOT(ISNUMBER(Timeline!$F25)),J$4&lt;=Timeline!$K25,EOMONTH(J$4,0)&gt;=Timeline!$H25),"P",IF(AND(ISNUMBER(Timeline!$K25),ISNUMBER(Timeline!$O25),J$4&lt;=Timeline!$O25,EOMONTH(J$4,0)&gt;Timeline!$K25),"S",""))))</f>
        <v/>
      </c>
      <c r="K20" s="17" t="str">
        <f aca="false">IF(AND(ISNUMBER(Timeline!$E25),ISNUMBER(Timeline!$F25),K$4&lt;=Timeline!$F25,EOMONTH(K$4,0)&gt;=Timeline!$E25),"C",IF(AND(ISNUMBER(Timeline!$F25),ISNUMBER(Timeline!$K25),K$4&lt;=Timeline!$K25,EOMONTH(K$4,0)&gt;Timeline!$F25),"P",IF(AND(ISNUMBER(Timeline!$H25),ISNUMBER(Timeline!$K25),NOT(ISNUMBER(Timeline!$F25)),K$4&lt;=Timeline!$K25,EOMONTH(K$4,0)&gt;=Timeline!$H25),"P",IF(AND(ISNUMBER(Timeline!$K25),ISNUMBER(Timeline!$O25),K$4&lt;=Timeline!$O25,EOMONTH(K$4,0)&gt;Timeline!$K25),"S",""))))</f>
        <v/>
      </c>
      <c r="L20" s="17" t="str">
        <f aca="false">IF(AND(ISNUMBER(Timeline!$E25),ISNUMBER(Timeline!$F25),L$4&lt;=Timeline!$F25,EOMONTH(L$4,0)&gt;=Timeline!$E25),"C",IF(AND(ISNUMBER(Timeline!$F25),ISNUMBER(Timeline!$K25),L$4&lt;=Timeline!$K25,EOMONTH(L$4,0)&gt;Timeline!$F25),"P",IF(AND(ISNUMBER(Timeline!$H25),ISNUMBER(Timeline!$K25),NOT(ISNUMBER(Timeline!$F25)),L$4&lt;=Timeline!$K25,EOMONTH(L$4,0)&gt;=Timeline!$H25),"P",IF(AND(ISNUMBER(Timeline!$K25),ISNUMBER(Timeline!$O25),L$4&lt;=Timeline!$O25,EOMONTH(L$4,0)&gt;Timeline!$K25),"S",""))))</f>
        <v/>
      </c>
      <c r="M20" s="17" t="str">
        <f aca="false">IF(AND(ISNUMBER(Timeline!$E25),ISNUMBER(Timeline!$F25),M$4&lt;=Timeline!$F25,EOMONTH(M$4,0)&gt;=Timeline!$E25),"C",IF(AND(ISNUMBER(Timeline!$F25),ISNUMBER(Timeline!$K25),M$4&lt;=Timeline!$K25,EOMONTH(M$4,0)&gt;Timeline!$F25),"P",IF(AND(ISNUMBER(Timeline!$H25),ISNUMBER(Timeline!$K25),NOT(ISNUMBER(Timeline!$F25)),M$4&lt;=Timeline!$K25,EOMONTH(M$4,0)&gt;=Timeline!$H25),"P",IF(AND(ISNUMBER(Timeline!$K25),ISNUMBER(Timeline!$O25),M$4&lt;=Timeline!$O25,EOMONTH(M$4,0)&gt;Timeline!$K25),"S",""))))</f>
        <v/>
      </c>
      <c r="N20" s="17" t="str">
        <f aca="false">IF(AND(ISNUMBER(Timeline!$E25),ISNUMBER(Timeline!$F25),N$4&lt;=Timeline!$F25,EOMONTH(N$4,0)&gt;=Timeline!$E25),"C",IF(AND(ISNUMBER(Timeline!$F25),ISNUMBER(Timeline!$K25),N$4&lt;=Timeline!$K25,EOMONTH(N$4,0)&gt;Timeline!$F25),"P",IF(AND(ISNUMBER(Timeline!$H25),ISNUMBER(Timeline!$K25),NOT(ISNUMBER(Timeline!$F25)),N$4&lt;=Timeline!$K25,EOMONTH(N$4,0)&gt;=Timeline!$H25),"P",IF(AND(ISNUMBER(Timeline!$K25),ISNUMBER(Timeline!$O25),N$4&lt;=Timeline!$O25,EOMONTH(N$4,0)&gt;Timeline!$K25),"S",""))))</f>
        <v/>
      </c>
      <c r="O20" s="17" t="str">
        <f aca="false">IF(AND(ISNUMBER(Timeline!$E25),ISNUMBER(Timeline!$F25),O$4&lt;=Timeline!$F25,EOMONTH(O$4,0)&gt;=Timeline!$E25),"C",IF(AND(ISNUMBER(Timeline!$F25),ISNUMBER(Timeline!$K25),O$4&lt;=Timeline!$K25,EOMONTH(O$4,0)&gt;Timeline!$F25),"P",IF(AND(ISNUMBER(Timeline!$H25),ISNUMBER(Timeline!$K25),NOT(ISNUMBER(Timeline!$F25)),O$4&lt;=Timeline!$K25,EOMONTH(O$4,0)&gt;=Timeline!$H25),"P",IF(AND(ISNUMBER(Timeline!$K25),ISNUMBER(Timeline!$O25),O$4&lt;=Timeline!$O25,EOMONTH(O$4,0)&gt;Timeline!$K25),"S",""))))</f>
        <v/>
      </c>
      <c r="P20" s="17" t="str">
        <f aca="false">IF(AND(ISNUMBER(Timeline!$E25),ISNUMBER(Timeline!$F25),P$4&lt;=Timeline!$F25,EOMONTH(P$4,0)&gt;=Timeline!$E25),"C",IF(AND(ISNUMBER(Timeline!$F25),ISNUMBER(Timeline!$K25),P$4&lt;=Timeline!$K25,EOMONTH(P$4,0)&gt;Timeline!$F25),"P",IF(AND(ISNUMBER(Timeline!$H25),ISNUMBER(Timeline!$K25),NOT(ISNUMBER(Timeline!$F25)),P$4&lt;=Timeline!$K25,EOMONTH(P$4,0)&gt;=Timeline!$H25),"P",IF(AND(ISNUMBER(Timeline!$K25),ISNUMBER(Timeline!$O25),P$4&lt;=Timeline!$O25,EOMONTH(P$4,0)&gt;Timeline!$K25),"S",""))))</f>
        <v>P</v>
      </c>
      <c r="Q20" s="17" t="str">
        <f aca="false">IF(AND(ISNUMBER(Timeline!$E25),ISNUMBER(Timeline!$F25),Q$4&lt;=Timeline!$F25,EOMONTH(Q$4,0)&gt;=Timeline!$E25),"C",IF(AND(ISNUMBER(Timeline!$F25),ISNUMBER(Timeline!$K25),Q$4&lt;=Timeline!$K25,EOMONTH(Q$4,0)&gt;Timeline!$F25),"P",IF(AND(ISNUMBER(Timeline!$H25),ISNUMBER(Timeline!$K25),NOT(ISNUMBER(Timeline!$F25)),Q$4&lt;=Timeline!$K25,EOMONTH(Q$4,0)&gt;=Timeline!$H25),"P",IF(AND(ISNUMBER(Timeline!$K25),ISNUMBER(Timeline!$O25),Q$4&lt;=Timeline!$O25,EOMONTH(Q$4,0)&gt;Timeline!$K25),"S",""))))</f>
        <v>P</v>
      </c>
      <c r="R20" s="17" t="str">
        <f aca="false">IF(AND(ISNUMBER(Timeline!$E25),ISNUMBER(Timeline!$F25),R$4&lt;=Timeline!$F25,EOMONTH(R$4,0)&gt;=Timeline!$E25),"C",IF(AND(ISNUMBER(Timeline!$F25),ISNUMBER(Timeline!$K25),R$4&lt;=Timeline!$K25,EOMONTH(R$4,0)&gt;Timeline!$F25),"P",IF(AND(ISNUMBER(Timeline!$H25),ISNUMBER(Timeline!$K25),NOT(ISNUMBER(Timeline!$F25)),R$4&lt;=Timeline!$K25,EOMONTH(R$4,0)&gt;=Timeline!$H25),"P",IF(AND(ISNUMBER(Timeline!$K25),ISNUMBER(Timeline!$O25),R$4&lt;=Timeline!$O25,EOMONTH(R$4,0)&gt;Timeline!$K25),"S",""))))</f>
        <v>P</v>
      </c>
      <c r="S20" s="17" t="str">
        <f aca="false">IF(AND(ISNUMBER(Timeline!$E25),ISNUMBER(Timeline!$F25),S$4&lt;=Timeline!$F25,EOMONTH(S$4,0)&gt;=Timeline!$E25),"C",IF(AND(ISNUMBER(Timeline!$F25),ISNUMBER(Timeline!$K25),S$4&lt;=Timeline!$K25,EOMONTH(S$4,0)&gt;Timeline!$F25),"P",IF(AND(ISNUMBER(Timeline!$H25),ISNUMBER(Timeline!$K25),NOT(ISNUMBER(Timeline!$F25)),S$4&lt;=Timeline!$K25,EOMONTH(S$4,0)&gt;=Timeline!$H25),"P",IF(AND(ISNUMBER(Timeline!$K25),ISNUMBER(Timeline!$O25),S$4&lt;=Timeline!$O25,EOMONTH(S$4,0)&gt;Timeline!$K25),"S",""))))</f>
        <v>P</v>
      </c>
      <c r="T20" s="17" t="str">
        <f aca="false">IF(AND(ISNUMBER(Timeline!$E25),ISNUMBER(Timeline!$F25),T$4&lt;=Timeline!$F25,EOMONTH(T$4,0)&gt;=Timeline!$E25),"C",IF(AND(ISNUMBER(Timeline!$F25),ISNUMBER(Timeline!$K25),T$4&lt;=Timeline!$K25,EOMONTH(T$4,0)&gt;Timeline!$F25),"P",IF(AND(ISNUMBER(Timeline!$H25),ISNUMBER(Timeline!$K25),NOT(ISNUMBER(Timeline!$F25)),T$4&lt;=Timeline!$K25,EOMONTH(T$4,0)&gt;=Timeline!$H25),"P",IF(AND(ISNUMBER(Timeline!$K25),ISNUMBER(Timeline!$O25),T$4&lt;=Timeline!$O25,EOMONTH(T$4,0)&gt;Timeline!$K25),"S",""))))</f>
        <v>P</v>
      </c>
      <c r="U20" s="17" t="str">
        <f aca="false">IF(AND(ISNUMBER(Timeline!$E25),ISNUMBER(Timeline!$F25),U$4&lt;=Timeline!$F25,EOMONTH(U$4,0)&gt;=Timeline!$E25),"C",IF(AND(ISNUMBER(Timeline!$F25),ISNUMBER(Timeline!$K25),U$4&lt;=Timeline!$K25,EOMONTH(U$4,0)&gt;Timeline!$F25),"P",IF(AND(ISNUMBER(Timeline!$H25),ISNUMBER(Timeline!$K25),NOT(ISNUMBER(Timeline!$F25)),U$4&lt;=Timeline!$K25,EOMONTH(U$4,0)&gt;=Timeline!$H25),"P",IF(AND(ISNUMBER(Timeline!$K25),ISNUMBER(Timeline!$O25),U$4&lt;=Timeline!$O25,EOMONTH(U$4,0)&gt;Timeline!$K25),"S",""))))</f>
        <v>P</v>
      </c>
      <c r="V20" s="17" t="str">
        <f aca="false">IF(AND(ISNUMBER(Timeline!$E25),ISNUMBER(Timeline!$F25),V$4&lt;=Timeline!$F25,EOMONTH(V$4,0)&gt;=Timeline!$E25),"C",IF(AND(ISNUMBER(Timeline!$F25),ISNUMBER(Timeline!$K25),V$4&lt;=Timeline!$K25,EOMONTH(V$4,0)&gt;Timeline!$F25),"P",IF(AND(ISNUMBER(Timeline!$H25),ISNUMBER(Timeline!$K25),NOT(ISNUMBER(Timeline!$F25)),V$4&lt;=Timeline!$K25,EOMONTH(V$4,0)&gt;=Timeline!$H25),"P",IF(AND(ISNUMBER(Timeline!$K25),ISNUMBER(Timeline!$O25),V$4&lt;=Timeline!$O25,EOMONTH(V$4,0)&gt;Timeline!$K25),"S",""))))</f>
        <v>P</v>
      </c>
      <c r="W20" s="17" t="str">
        <f aca="false">IF(AND(ISNUMBER(Timeline!$E25),ISNUMBER(Timeline!$F25),W$4&lt;=Timeline!$F25,EOMONTH(W$4,0)&gt;=Timeline!$E25),"C",IF(AND(ISNUMBER(Timeline!$F25),ISNUMBER(Timeline!$K25),W$4&lt;=Timeline!$K25,EOMONTH(W$4,0)&gt;Timeline!$F25),"P",IF(AND(ISNUMBER(Timeline!$H25),ISNUMBER(Timeline!$K25),NOT(ISNUMBER(Timeline!$F25)),W$4&lt;=Timeline!$K25,EOMONTH(W$4,0)&gt;=Timeline!$H25),"P",IF(AND(ISNUMBER(Timeline!$K25),ISNUMBER(Timeline!$O25),W$4&lt;=Timeline!$O25,EOMONTH(W$4,0)&gt;Timeline!$K25),"S",""))))</f>
        <v>P</v>
      </c>
      <c r="X20" s="17" t="str">
        <f aca="false">IF(AND(ISNUMBER(Timeline!$E25),ISNUMBER(Timeline!$F25),X$4&lt;=Timeline!$F25,EOMONTH(X$4,0)&gt;=Timeline!$E25),"C",IF(AND(ISNUMBER(Timeline!$F25),ISNUMBER(Timeline!$K25),X$4&lt;=Timeline!$K25,EOMONTH(X$4,0)&gt;Timeline!$F25),"P",IF(AND(ISNUMBER(Timeline!$H25),ISNUMBER(Timeline!$K25),NOT(ISNUMBER(Timeline!$F25)),X$4&lt;=Timeline!$K25,EOMONTH(X$4,0)&gt;=Timeline!$H25),"P",IF(AND(ISNUMBER(Timeline!$K25),ISNUMBER(Timeline!$O25),X$4&lt;=Timeline!$O25,EOMONTH(X$4,0)&gt;Timeline!$K25),"S",""))))</f>
        <v/>
      </c>
      <c r="Y20" s="17" t="str">
        <f aca="false">IF(AND(ISNUMBER(Timeline!$E25),ISNUMBER(Timeline!$F25),Y$4&lt;=Timeline!$F25,EOMONTH(Y$4,0)&gt;=Timeline!$E25),"C",IF(AND(ISNUMBER(Timeline!$F25),ISNUMBER(Timeline!$K25),Y$4&lt;=Timeline!$K25,EOMONTH(Y$4,0)&gt;Timeline!$F25),"P",IF(AND(ISNUMBER(Timeline!$H25),ISNUMBER(Timeline!$K25),NOT(ISNUMBER(Timeline!$F25)),Y$4&lt;=Timeline!$K25,EOMONTH(Y$4,0)&gt;=Timeline!$H25),"P",IF(AND(ISNUMBER(Timeline!$K25),ISNUMBER(Timeline!$O25),Y$4&lt;=Timeline!$O25,EOMONTH(Y$4,0)&gt;Timeline!$K25),"S",""))))</f>
        <v/>
      </c>
      <c r="Z20" s="17" t="str">
        <f aca="false">IF(AND(ISNUMBER(Timeline!$E25),ISNUMBER(Timeline!$F25),Z$4&lt;=Timeline!$F25,EOMONTH(Z$4,0)&gt;=Timeline!$E25),"C",IF(AND(ISNUMBER(Timeline!$F25),ISNUMBER(Timeline!$K25),Z$4&lt;=Timeline!$K25,EOMONTH(Z$4,0)&gt;Timeline!$F25),"P",IF(AND(ISNUMBER(Timeline!$H25),ISNUMBER(Timeline!$K25),NOT(ISNUMBER(Timeline!$F25)),Z$4&lt;=Timeline!$K25,EOMONTH(Z$4,0)&gt;=Timeline!$H25),"P",IF(AND(ISNUMBER(Timeline!$K25),ISNUMBER(Timeline!$O25),Z$4&lt;=Timeline!$O25,EOMONTH(Z$4,0)&gt;Timeline!$K25),"S",""))))</f>
        <v/>
      </c>
      <c r="AA20" s="17" t="str">
        <f aca="false">IF(AND(ISNUMBER(Timeline!$E25),ISNUMBER(Timeline!$F25),AA$4&lt;=Timeline!$F25,EOMONTH(AA$4,0)&gt;=Timeline!$E25),"C",IF(AND(ISNUMBER(Timeline!$F25),ISNUMBER(Timeline!$K25),AA$4&lt;=Timeline!$K25,EOMONTH(AA$4,0)&gt;Timeline!$F25),"P",IF(AND(ISNUMBER(Timeline!$H25),ISNUMBER(Timeline!$K25),NOT(ISNUMBER(Timeline!$F25)),AA$4&lt;=Timeline!$K25,EOMONTH(AA$4,0)&gt;=Timeline!$H25),"P",IF(AND(ISNUMBER(Timeline!$K25),ISNUMBER(Timeline!$O25),AA$4&lt;=Timeline!$O25,EOMONTH(AA$4,0)&gt;Timeline!$K25),"S",""))))</f>
        <v/>
      </c>
      <c r="AB20" s="17" t="str">
        <f aca="false">IF(AND(ISNUMBER(Timeline!$E25),ISNUMBER(Timeline!$F25),AB$4&lt;=Timeline!$F25,EOMONTH(AB$4,0)&gt;=Timeline!$E25),"C",IF(AND(ISNUMBER(Timeline!$F25),ISNUMBER(Timeline!$K25),AB$4&lt;=Timeline!$K25,EOMONTH(AB$4,0)&gt;Timeline!$F25),"P",IF(AND(ISNUMBER(Timeline!$H25),ISNUMBER(Timeline!$K25),NOT(ISNUMBER(Timeline!$F25)),AB$4&lt;=Timeline!$K25,EOMONTH(AB$4,0)&gt;=Timeline!$H25),"P",IF(AND(ISNUMBER(Timeline!$K25),ISNUMBER(Timeline!$O25),AB$4&lt;=Timeline!$O25,EOMONTH(AB$4,0)&gt;Timeline!$K25),"S",""))))</f>
        <v/>
      </c>
      <c r="AC20" s="17" t="str">
        <f aca="false">IF(AND(ISNUMBER(Timeline!$E25),ISNUMBER(Timeline!$F25),AC$4&lt;=Timeline!$F25,EOMONTH(AC$4,0)&gt;=Timeline!$E25),"C",IF(AND(ISNUMBER(Timeline!$F25),ISNUMBER(Timeline!$K25),AC$4&lt;=Timeline!$K25,EOMONTH(AC$4,0)&gt;Timeline!$F25),"P",IF(AND(ISNUMBER(Timeline!$H25),ISNUMBER(Timeline!$K25),NOT(ISNUMBER(Timeline!$F25)),AC$4&lt;=Timeline!$K25,EOMONTH(AC$4,0)&gt;=Timeline!$H25),"P",IF(AND(ISNUMBER(Timeline!$K25),ISNUMBER(Timeline!$O25),AC$4&lt;=Timeline!$O25,EOMONTH(AC$4,0)&gt;Timeline!$K25),"S",""))))</f>
        <v/>
      </c>
      <c r="AD20" s="17" t="str">
        <f aca="false">IF(AND(ISNUMBER(Timeline!$E25),ISNUMBER(Timeline!$F25),AD$4&lt;=Timeline!$F25,EOMONTH(AD$4,0)&gt;=Timeline!$E25),"C",IF(AND(ISNUMBER(Timeline!$F25),ISNUMBER(Timeline!$K25),AD$4&lt;=Timeline!$K25,EOMONTH(AD$4,0)&gt;Timeline!$F25),"P",IF(AND(ISNUMBER(Timeline!$H25),ISNUMBER(Timeline!$K25),NOT(ISNUMBER(Timeline!$F25)),AD$4&lt;=Timeline!$K25,EOMONTH(AD$4,0)&gt;=Timeline!$H25),"P",IF(AND(ISNUMBER(Timeline!$K25),ISNUMBER(Timeline!$O25),AD$4&lt;=Timeline!$O25,EOMONTH(AD$4,0)&gt;Timeline!$K25),"S",""))))</f>
        <v/>
      </c>
      <c r="AE20" s="17" t="str">
        <f aca="false">IF(AND(ISNUMBER(Timeline!$E25),ISNUMBER(Timeline!$F25),AE$4&lt;=Timeline!$F25,EOMONTH(AE$4,0)&gt;=Timeline!$E25),"C",IF(AND(ISNUMBER(Timeline!$F25),ISNUMBER(Timeline!$K25),AE$4&lt;=Timeline!$K25,EOMONTH(AE$4,0)&gt;Timeline!$F25),"P",IF(AND(ISNUMBER(Timeline!$H25),ISNUMBER(Timeline!$K25),NOT(ISNUMBER(Timeline!$F25)),AE$4&lt;=Timeline!$K25,EOMONTH(AE$4,0)&gt;=Timeline!$H25),"P",IF(AND(ISNUMBER(Timeline!$K25),ISNUMBER(Timeline!$O25),AE$4&lt;=Timeline!$O25,EOMONTH(AE$4,0)&gt;Timeline!$K25),"S",""))))</f>
        <v/>
      </c>
      <c r="AF20" s="17" t="str">
        <f aca="false">IF(AND(ISNUMBER(Timeline!$E25),ISNUMBER(Timeline!$F25),AF$4&lt;=Timeline!$F25,EOMONTH(AF$4,0)&gt;=Timeline!$E25),"C",IF(AND(ISNUMBER(Timeline!$F25),ISNUMBER(Timeline!$K25),AF$4&lt;=Timeline!$K25,EOMONTH(AF$4,0)&gt;Timeline!$F25),"P",IF(AND(ISNUMBER(Timeline!$H25),ISNUMBER(Timeline!$K25),NOT(ISNUMBER(Timeline!$F25)),AF$4&lt;=Timeline!$K25,EOMONTH(AF$4,0)&gt;=Timeline!$H25),"P",IF(AND(ISNUMBER(Timeline!$K25),ISNUMBER(Timeline!$O25),AF$4&lt;=Timeline!$O25,EOMONTH(AF$4,0)&gt;Timeline!$K25),"S",""))))</f>
        <v/>
      </c>
      <c r="AG20" s="17" t="str">
        <f aca="false">IF(AND(ISNUMBER(Timeline!$E25),ISNUMBER(Timeline!$F25),AG$4&lt;=Timeline!$F25,EOMONTH(AG$4,0)&gt;=Timeline!$E25),"C",IF(AND(ISNUMBER(Timeline!$F25),ISNUMBER(Timeline!$K25),AG$4&lt;=Timeline!$K25,EOMONTH(AG$4,0)&gt;Timeline!$F25),"P",IF(AND(ISNUMBER(Timeline!$H25),ISNUMBER(Timeline!$K25),NOT(ISNUMBER(Timeline!$F25)),AG$4&lt;=Timeline!$K25,EOMONTH(AG$4,0)&gt;=Timeline!$H25),"P",IF(AND(ISNUMBER(Timeline!$K25),ISNUMBER(Timeline!$O25),AG$4&lt;=Timeline!$O25,EOMONTH(AG$4,0)&gt;Timeline!$K25),"S",""))))</f>
        <v/>
      </c>
      <c r="AH20" s="17" t="str">
        <f aca="false">IF(AND(ISNUMBER(Timeline!$E25),ISNUMBER(Timeline!$F25),AH$4&lt;=Timeline!$F25,EOMONTH(AH$4,0)&gt;=Timeline!$E25),"C",IF(AND(ISNUMBER(Timeline!$F25),ISNUMBER(Timeline!$K25),AH$4&lt;=Timeline!$K25,EOMONTH(AH$4,0)&gt;Timeline!$F25),"P",IF(AND(ISNUMBER(Timeline!$H25),ISNUMBER(Timeline!$K25),NOT(ISNUMBER(Timeline!$F25)),AH$4&lt;=Timeline!$K25,EOMONTH(AH$4,0)&gt;=Timeline!$H25),"P",IF(AND(ISNUMBER(Timeline!$K25),ISNUMBER(Timeline!$O25),AH$4&lt;=Timeline!$O25,EOMONTH(AH$4,0)&gt;Timeline!$K25),"S",""))))</f>
        <v/>
      </c>
    </row>
    <row r="21" customFormat="false" ht="15" hidden="false" customHeight="false" outlineLevel="0" collapsed="false">
      <c r="A21" s="5" t="n">
        <v>17</v>
      </c>
      <c r="B21" s="16" t="s">
        <v>75</v>
      </c>
      <c r="C21" s="16" t="s">
        <v>26</v>
      </c>
      <c r="D21" s="17" t="str">
        <f aca="false">IF(AND(ISNUMBER(Timeline!$E26),ISNUMBER(Timeline!$F26),D$4&lt;=Timeline!$F26,EOMONTH(D$4,0)&gt;=Timeline!$E26),"C",IF(AND(ISNUMBER(Timeline!$F26),ISNUMBER(Timeline!$K26),D$4&lt;=Timeline!$K26,EOMONTH(D$4,0)&gt;Timeline!$F26),"P",IF(AND(ISNUMBER(Timeline!$H26),ISNUMBER(Timeline!$K26),NOT(ISNUMBER(Timeline!$F26)),D$4&lt;=Timeline!$K26,EOMONTH(D$4,0)&gt;=Timeline!$H26),"P",IF(AND(ISNUMBER(Timeline!$K26),ISNUMBER(Timeline!$O26),D$4&lt;=Timeline!$O26,EOMONTH(D$4,0)&gt;Timeline!$K26),"S",""))))</f>
        <v/>
      </c>
      <c r="E21" s="17" t="str">
        <f aca="false">IF(AND(ISNUMBER(Timeline!$E26),ISNUMBER(Timeline!$F26),E$4&lt;=Timeline!$F26,EOMONTH(E$4,0)&gt;=Timeline!$E26),"C",IF(AND(ISNUMBER(Timeline!$F26),ISNUMBER(Timeline!$K26),E$4&lt;=Timeline!$K26,EOMONTH(E$4,0)&gt;Timeline!$F26),"P",IF(AND(ISNUMBER(Timeline!$H26),ISNUMBER(Timeline!$K26),NOT(ISNUMBER(Timeline!$F26)),E$4&lt;=Timeline!$K26,EOMONTH(E$4,0)&gt;=Timeline!$H26),"P",IF(AND(ISNUMBER(Timeline!$K26),ISNUMBER(Timeline!$O26),E$4&lt;=Timeline!$O26,EOMONTH(E$4,0)&gt;Timeline!$K26),"S",""))))</f>
        <v/>
      </c>
      <c r="F21" s="17" t="str">
        <f aca="false">IF(AND(ISNUMBER(Timeline!$E26),ISNUMBER(Timeline!$F26),F$4&lt;=Timeline!$F26,EOMONTH(F$4,0)&gt;=Timeline!$E26),"C",IF(AND(ISNUMBER(Timeline!$F26),ISNUMBER(Timeline!$K26),F$4&lt;=Timeline!$K26,EOMONTH(F$4,0)&gt;Timeline!$F26),"P",IF(AND(ISNUMBER(Timeline!$H26),ISNUMBER(Timeline!$K26),NOT(ISNUMBER(Timeline!$F26)),F$4&lt;=Timeline!$K26,EOMONTH(F$4,0)&gt;=Timeline!$H26),"P",IF(AND(ISNUMBER(Timeline!$K26),ISNUMBER(Timeline!$O26),F$4&lt;=Timeline!$O26,EOMONTH(F$4,0)&gt;Timeline!$K26),"S",""))))</f>
        <v/>
      </c>
      <c r="G21" s="17" t="str">
        <f aca="false">IF(AND(ISNUMBER(Timeline!$E26),ISNUMBER(Timeline!$F26),G$4&lt;=Timeline!$F26,EOMONTH(G$4,0)&gt;=Timeline!$E26),"C",IF(AND(ISNUMBER(Timeline!$F26),ISNUMBER(Timeline!$K26),G$4&lt;=Timeline!$K26,EOMONTH(G$4,0)&gt;Timeline!$F26),"P",IF(AND(ISNUMBER(Timeline!$H26),ISNUMBER(Timeline!$K26),NOT(ISNUMBER(Timeline!$F26)),G$4&lt;=Timeline!$K26,EOMONTH(G$4,0)&gt;=Timeline!$H26),"P",IF(AND(ISNUMBER(Timeline!$K26),ISNUMBER(Timeline!$O26),G$4&lt;=Timeline!$O26,EOMONTH(G$4,0)&gt;Timeline!$K26),"S",""))))</f>
        <v/>
      </c>
      <c r="H21" s="17" t="str">
        <f aca="false">IF(AND(ISNUMBER(Timeline!$E26),ISNUMBER(Timeline!$F26),H$4&lt;=Timeline!$F26,EOMONTH(H$4,0)&gt;=Timeline!$E26),"C",IF(AND(ISNUMBER(Timeline!$F26),ISNUMBER(Timeline!$K26),H$4&lt;=Timeline!$K26,EOMONTH(H$4,0)&gt;Timeline!$F26),"P",IF(AND(ISNUMBER(Timeline!$H26),ISNUMBER(Timeline!$K26),NOT(ISNUMBER(Timeline!$F26)),H$4&lt;=Timeline!$K26,EOMONTH(H$4,0)&gt;=Timeline!$H26),"P",IF(AND(ISNUMBER(Timeline!$K26),ISNUMBER(Timeline!$O26),H$4&lt;=Timeline!$O26,EOMONTH(H$4,0)&gt;Timeline!$K26),"S",""))))</f>
        <v/>
      </c>
      <c r="I21" s="17" t="str">
        <f aca="false">IF(AND(ISNUMBER(Timeline!$E26),ISNUMBER(Timeline!$F26),I$4&lt;=Timeline!$F26,EOMONTH(I$4,0)&gt;=Timeline!$E26),"C",IF(AND(ISNUMBER(Timeline!$F26),ISNUMBER(Timeline!$K26),I$4&lt;=Timeline!$K26,EOMONTH(I$4,0)&gt;Timeline!$F26),"P",IF(AND(ISNUMBER(Timeline!$H26),ISNUMBER(Timeline!$K26),NOT(ISNUMBER(Timeline!$F26)),I$4&lt;=Timeline!$K26,EOMONTH(I$4,0)&gt;=Timeline!$H26),"P",IF(AND(ISNUMBER(Timeline!$K26),ISNUMBER(Timeline!$O26),I$4&lt;=Timeline!$O26,EOMONTH(I$4,0)&gt;Timeline!$K26),"S",""))))</f>
        <v/>
      </c>
      <c r="J21" s="17" t="str">
        <f aca="false">IF(AND(ISNUMBER(Timeline!$E26),ISNUMBER(Timeline!$F26),J$4&lt;=Timeline!$F26,EOMONTH(J$4,0)&gt;=Timeline!$E26),"C",IF(AND(ISNUMBER(Timeline!$F26),ISNUMBER(Timeline!$K26),J$4&lt;=Timeline!$K26,EOMONTH(J$4,0)&gt;Timeline!$F26),"P",IF(AND(ISNUMBER(Timeline!$H26),ISNUMBER(Timeline!$K26),NOT(ISNUMBER(Timeline!$F26)),J$4&lt;=Timeline!$K26,EOMONTH(J$4,0)&gt;=Timeline!$H26),"P",IF(AND(ISNUMBER(Timeline!$K26),ISNUMBER(Timeline!$O26),J$4&lt;=Timeline!$O26,EOMONTH(J$4,0)&gt;Timeline!$K26),"S",""))))</f>
        <v/>
      </c>
      <c r="K21" s="17" t="str">
        <f aca="false">IF(AND(ISNUMBER(Timeline!$E26),ISNUMBER(Timeline!$F26),K$4&lt;=Timeline!$F26,EOMONTH(K$4,0)&gt;=Timeline!$E26),"C",IF(AND(ISNUMBER(Timeline!$F26),ISNUMBER(Timeline!$K26),K$4&lt;=Timeline!$K26,EOMONTH(K$4,0)&gt;Timeline!$F26),"P",IF(AND(ISNUMBER(Timeline!$H26),ISNUMBER(Timeline!$K26),NOT(ISNUMBER(Timeline!$F26)),K$4&lt;=Timeline!$K26,EOMONTH(K$4,0)&gt;=Timeline!$H26),"P",IF(AND(ISNUMBER(Timeline!$K26),ISNUMBER(Timeline!$O26),K$4&lt;=Timeline!$O26,EOMONTH(K$4,0)&gt;Timeline!$K26),"S",""))))</f>
        <v/>
      </c>
      <c r="L21" s="17" t="str">
        <f aca="false">IF(AND(ISNUMBER(Timeline!$E26),ISNUMBER(Timeline!$F26),L$4&lt;=Timeline!$F26,EOMONTH(L$4,0)&gt;=Timeline!$E26),"C",IF(AND(ISNUMBER(Timeline!$F26),ISNUMBER(Timeline!$K26),L$4&lt;=Timeline!$K26,EOMONTH(L$4,0)&gt;Timeline!$F26),"P",IF(AND(ISNUMBER(Timeline!$H26),ISNUMBER(Timeline!$K26),NOT(ISNUMBER(Timeline!$F26)),L$4&lt;=Timeline!$K26,EOMONTH(L$4,0)&gt;=Timeline!$H26),"P",IF(AND(ISNUMBER(Timeline!$K26),ISNUMBER(Timeline!$O26),L$4&lt;=Timeline!$O26,EOMONTH(L$4,0)&gt;Timeline!$K26),"S",""))))</f>
        <v/>
      </c>
      <c r="M21" s="17" t="str">
        <f aca="false">IF(AND(ISNUMBER(Timeline!$E26),ISNUMBER(Timeline!$F26),M$4&lt;=Timeline!$F26,EOMONTH(M$4,0)&gt;=Timeline!$E26),"C",IF(AND(ISNUMBER(Timeline!$F26),ISNUMBER(Timeline!$K26),M$4&lt;=Timeline!$K26,EOMONTH(M$4,0)&gt;Timeline!$F26),"P",IF(AND(ISNUMBER(Timeline!$H26),ISNUMBER(Timeline!$K26),NOT(ISNUMBER(Timeline!$F26)),M$4&lt;=Timeline!$K26,EOMONTH(M$4,0)&gt;=Timeline!$H26),"P",IF(AND(ISNUMBER(Timeline!$K26),ISNUMBER(Timeline!$O26),M$4&lt;=Timeline!$O26,EOMONTH(M$4,0)&gt;Timeline!$K26),"S",""))))</f>
        <v/>
      </c>
      <c r="N21" s="17" t="str">
        <f aca="false">IF(AND(ISNUMBER(Timeline!$E26),ISNUMBER(Timeline!$F26),N$4&lt;=Timeline!$F26,EOMONTH(N$4,0)&gt;=Timeline!$E26),"C",IF(AND(ISNUMBER(Timeline!$F26),ISNUMBER(Timeline!$K26),N$4&lt;=Timeline!$K26,EOMONTH(N$4,0)&gt;Timeline!$F26),"P",IF(AND(ISNUMBER(Timeline!$H26),ISNUMBER(Timeline!$K26),NOT(ISNUMBER(Timeline!$F26)),N$4&lt;=Timeline!$K26,EOMONTH(N$4,0)&gt;=Timeline!$H26),"P",IF(AND(ISNUMBER(Timeline!$K26),ISNUMBER(Timeline!$O26),N$4&lt;=Timeline!$O26,EOMONTH(N$4,0)&gt;Timeline!$K26),"S",""))))</f>
        <v/>
      </c>
      <c r="O21" s="17" t="str">
        <f aca="false">IF(AND(ISNUMBER(Timeline!$E26),ISNUMBER(Timeline!$F26),O$4&lt;=Timeline!$F26,EOMONTH(O$4,0)&gt;=Timeline!$E26),"C",IF(AND(ISNUMBER(Timeline!$F26),ISNUMBER(Timeline!$K26),O$4&lt;=Timeline!$K26,EOMONTH(O$4,0)&gt;Timeline!$F26),"P",IF(AND(ISNUMBER(Timeline!$H26),ISNUMBER(Timeline!$K26),NOT(ISNUMBER(Timeline!$F26)),O$4&lt;=Timeline!$K26,EOMONTH(O$4,0)&gt;=Timeline!$H26),"P",IF(AND(ISNUMBER(Timeline!$K26),ISNUMBER(Timeline!$O26),O$4&lt;=Timeline!$O26,EOMONTH(O$4,0)&gt;Timeline!$K26),"S",""))))</f>
        <v/>
      </c>
      <c r="P21" s="17" t="str">
        <f aca="false">IF(AND(ISNUMBER(Timeline!$E26),ISNUMBER(Timeline!$F26),P$4&lt;=Timeline!$F26,EOMONTH(P$4,0)&gt;=Timeline!$E26),"C",IF(AND(ISNUMBER(Timeline!$F26),ISNUMBER(Timeline!$K26),P$4&lt;=Timeline!$K26,EOMONTH(P$4,0)&gt;Timeline!$F26),"P",IF(AND(ISNUMBER(Timeline!$H26),ISNUMBER(Timeline!$K26),NOT(ISNUMBER(Timeline!$F26)),P$4&lt;=Timeline!$K26,EOMONTH(P$4,0)&gt;=Timeline!$H26),"P",IF(AND(ISNUMBER(Timeline!$K26),ISNUMBER(Timeline!$O26),P$4&lt;=Timeline!$O26,EOMONTH(P$4,0)&gt;Timeline!$K26),"S",""))))</f>
        <v>P</v>
      </c>
      <c r="Q21" s="17" t="str">
        <f aca="false">IF(AND(ISNUMBER(Timeline!$E26),ISNUMBER(Timeline!$F26),Q$4&lt;=Timeline!$F26,EOMONTH(Q$4,0)&gt;=Timeline!$E26),"C",IF(AND(ISNUMBER(Timeline!$F26),ISNUMBER(Timeline!$K26),Q$4&lt;=Timeline!$K26,EOMONTH(Q$4,0)&gt;Timeline!$F26),"P",IF(AND(ISNUMBER(Timeline!$H26),ISNUMBER(Timeline!$K26),NOT(ISNUMBER(Timeline!$F26)),Q$4&lt;=Timeline!$K26,EOMONTH(Q$4,0)&gt;=Timeline!$H26),"P",IF(AND(ISNUMBER(Timeline!$K26),ISNUMBER(Timeline!$O26),Q$4&lt;=Timeline!$O26,EOMONTH(Q$4,0)&gt;Timeline!$K26),"S",""))))</f>
        <v>P</v>
      </c>
      <c r="R21" s="17" t="str">
        <f aca="false">IF(AND(ISNUMBER(Timeline!$E26),ISNUMBER(Timeline!$F26),R$4&lt;=Timeline!$F26,EOMONTH(R$4,0)&gt;=Timeline!$E26),"C",IF(AND(ISNUMBER(Timeline!$F26),ISNUMBER(Timeline!$K26),R$4&lt;=Timeline!$K26,EOMONTH(R$4,0)&gt;Timeline!$F26),"P",IF(AND(ISNUMBER(Timeline!$H26),ISNUMBER(Timeline!$K26),NOT(ISNUMBER(Timeline!$F26)),R$4&lt;=Timeline!$K26,EOMONTH(R$4,0)&gt;=Timeline!$H26),"P",IF(AND(ISNUMBER(Timeline!$K26),ISNUMBER(Timeline!$O26),R$4&lt;=Timeline!$O26,EOMONTH(R$4,0)&gt;Timeline!$K26),"S",""))))</f>
        <v>P</v>
      </c>
      <c r="S21" s="17" t="str">
        <f aca="false">IF(AND(ISNUMBER(Timeline!$E26),ISNUMBER(Timeline!$F26),S$4&lt;=Timeline!$F26,EOMONTH(S$4,0)&gt;=Timeline!$E26),"C",IF(AND(ISNUMBER(Timeline!$F26),ISNUMBER(Timeline!$K26),S$4&lt;=Timeline!$K26,EOMONTH(S$4,0)&gt;Timeline!$F26),"P",IF(AND(ISNUMBER(Timeline!$H26),ISNUMBER(Timeline!$K26),NOT(ISNUMBER(Timeline!$F26)),S$4&lt;=Timeline!$K26,EOMONTH(S$4,0)&gt;=Timeline!$H26),"P",IF(AND(ISNUMBER(Timeline!$K26),ISNUMBER(Timeline!$O26),S$4&lt;=Timeline!$O26,EOMONTH(S$4,0)&gt;Timeline!$K26),"S",""))))</f>
        <v>P</v>
      </c>
      <c r="T21" s="17" t="str">
        <f aca="false">IF(AND(ISNUMBER(Timeline!$E26),ISNUMBER(Timeline!$F26),T$4&lt;=Timeline!$F26,EOMONTH(T$4,0)&gt;=Timeline!$E26),"C",IF(AND(ISNUMBER(Timeline!$F26),ISNUMBER(Timeline!$K26),T$4&lt;=Timeline!$K26,EOMONTH(T$4,0)&gt;Timeline!$F26),"P",IF(AND(ISNUMBER(Timeline!$H26),ISNUMBER(Timeline!$K26),NOT(ISNUMBER(Timeline!$F26)),T$4&lt;=Timeline!$K26,EOMONTH(T$4,0)&gt;=Timeline!$H26),"P",IF(AND(ISNUMBER(Timeline!$K26),ISNUMBER(Timeline!$O26),T$4&lt;=Timeline!$O26,EOMONTH(T$4,0)&gt;Timeline!$K26),"S",""))))</f>
        <v>P</v>
      </c>
      <c r="U21" s="17" t="str">
        <f aca="false">IF(AND(ISNUMBER(Timeline!$E26),ISNUMBER(Timeline!$F26),U$4&lt;=Timeline!$F26,EOMONTH(U$4,0)&gt;=Timeline!$E26),"C",IF(AND(ISNUMBER(Timeline!$F26),ISNUMBER(Timeline!$K26),U$4&lt;=Timeline!$K26,EOMONTH(U$4,0)&gt;Timeline!$F26),"P",IF(AND(ISNUMBER(Timeline!$H26),ISNUMBER(Timeline!$K26),NOT(ISNUMBER(Timeline!$F26)),U$4&lt;=Timeline!$K26,EOMONTH(U$4,0)&gt;=Timeline!$H26),"P",IF(AND(ISNUMBER(Timeline!$K26),ISNUMBER(Timeline!$O26),U$4&lt;=Timeline!$O26,EOMONTH(U$4,0)&gt;Timeline!$K26),"S",""))))</f>
        <v>P</v>
      </c>
      <c r="V21" s="17" t="str">
        <f aca="false">IF(AND(ISNUMBER(Timeline!$E26),ISNUMBER(Timeline!$F26),V$4&lt;=Timeline!$F26,EOMONTH(V$4,0)&gt;=Timeline!$E26),"C",IF(AND(ISNUMBER(Timeline!$F26),ISNUMBER(Timeline!$K26),V$4&lt;=Timeline!$K26,EOMONTH(V$4,0)&gt;Timeline!$F26),"P",IF(AND(ISNUMBER(Timeline!$H26),ISNUMBER(Timeline!$K26),NOT(ISNUMBER(Timeline!$F26)),V$4&lt;=Timeline!$K26,EOMONTH(V$4,0)&gt;=Timeline!$H26),"P",IF(AND(ISNUMBER(Timeline!$K26),ISNUMBER(Timeline!$O26),V$4&lt;=Timeline!$O26,EOMONTH(V$4,0)&gt;Timeline!$K26),"S",""))))</f>
        <v>P</v>
      </c>
      <c r="W21" s="17" t="str">
        <f aca="false">IF(AND(ISNUMBER(Timeline!$E26),ISNUMBER(Timeline!$F26),W$4&lt;=Timeline!$F26,EOMONTH(W$4,0)&gt;=Timeline!$E26),"C",IF(AND(ISNUMBER(Timeline!$F26),ISNUMBER(Timeline!$K26),W$4&lt;=Timeline!$K26,EOMONTH(W$4,0)&gt;Timeline!$F26),"P",IF(AND(ISNUMBER(Timeline!$H26),ISNUMBER(Timeline!$K26),NOT(ISNUMBER(Timeline!$F26)),W$4&lt;=Timeline!$K26,EOMONTH(W$4,0)&gt;=Timeline!$H26),"P",IF(AND(ISNUMBER(Timeline!$K26),ISNUMBER(Timeline!$O26),W$4&lt;=Timeline!$O26,EOMONTH(W$4,0)&gt;Timeline!$K26),"S",""))))</f>
        <v>P</v>
      </c>
      <c r="X21" s="17" t="str">
        <f aca="false">IF(AND(ISNUMBER(Timeline!$E26),ISNUMBER(Timeline!$F26),X$4&lt;=Timeline!$F26,EOMONTH(X$4,0)&gt;=Timeline!$E26),"C",IF(AND(ISNUMBER(Timeline!$F26),ISNUMBER(Timeline!$K26),X$4&lt;=Timeline!$K26,EOMONTH(X$4,0)&gt;Timeline!$F26),"P",IF(AND(ISNUMBER(Timeline!$H26),ISNUMBER(Timeline!$K26),NOT(ISNUMBER(Timeline!$F26)),X$4&lt;=Timeline!$K26,EOMONTH(X$4,0)&gt;=Timeline!$H26),"P",IF(AND(ISNUMBER(Timeline!$K26),ISNUMBER(Timeline!$O26),X$4&lt;=Timeline!$O26,EOMONTH(X$4,0)&gt;Timeline!$K26),"S",""))))</f>
        <v>P</v>
      </c>
      <c r="Y21" s="17" t="str">
        <f aca="false">IF(AND(ISNUMBER(Timeline!$E26),ISNUMBER(Timeline!$F26),Y$4&lt;=Timeline!$F26,EOMONTH(Y$4,0)&gt;=Timeline!$E26),"C",IF(AND(ISNUMBER(Timeline!$F26),ISNUMBER(Timeline!$K26),Y$4&lt;=Timeline!$K26,EOMONTH(Y$4,0)&gt;Timeline!$F26),"P",IF(AND(ISNUMBER(Timeline!$H26),ISNUMBER(Timeline!$K26),NOT(ISNUMBER(Timeline!$F26)),Y$4&lt;=Timeline!$K26,EOMONTH(Y$4,0)&gt;=Timeline!$H26),"P",IF(AND(ISNUMBER(Timeline!$K26),ISNUMBER(Timeline!$O26),Y$4&lt;=Timeline!$O26,EOMONTH(Y$4,0)&gt;Timeline!$K26),"S",""))))</f>
        <v>P</v>
      </c>
      <c r="Z21" s="17" t="str">
        <f aca="false">IF(AND(ISNUMBER(Timeline!$E26),ISNUMBER(Timeline!$F26),Z$4&lt;=Timeline!$F26,EOMONTH(Z$4,0)&gt;=Timeline!$E26),"C",IF(AND(ISNUMBER(Timeline!$F26),ISNUMBER(Timeline!$K26),Z$4&lt;=Timeline!$K26,EOMONTH(Z$4,0)&gt;Timeline!$F26),"P",IF(AND(ISNUMBER(Timeline!$H26),ISNUMBER(Timeline!$K26),NOT(ISNUMBER(Timeline!$F26)),Z$4&lt;=Timeline!$K26,EOMONTH(Z$4,0)&gt;=Timeline!$H26),"P",IF(AND(ISNUMBER(Timeline!$K26),ISNUMBER(Timeline!$O26),Z$4&lt;=Timeline!$O26,EOMONTH(Z$4,0)&gt;Timeline!$K26),"S",""))))</f>
        <v>P</v>
      </c>
      <c r="AA21" s="17" t="str">
        <f aca="false">IF(AND(ISNUMBER(Timeline!$E26),ISNUMBER(Timeline!$F26),AA$4&lt;=Timeline!$F26,EOMONTH(AA$4,0)&gt;=Timeline!$E26),"C",IF(AND(ISNUMBER(Timeline!$F26),ISNUMBER(Timeline!$K26),AA$4&lt;=Timeline!$K26,EOMONTH(AA$4,0)&gt;Timeline!$F26),"P",IF(AND(ISNUMBER(Timeline!$H26),ISNUMBER(Timeline!$K26),NOT(ISNUMBER(Timeline!$F26)),AA$4&lt;=Timeline!$K26,EOMONTH(AA$4,0)&gt;=Timeline!$H26),"P",IF(AND(ISNUMBER(Timeline!$K26),ISNUMBER(Timeline!$O26),AA$4&lt;=Timeline!$O26,EOMONTH(AA$4,0)&gt;Timeline!$K26),"S",""))))</f>
        <v>S</v>
      </c>
      <c r="AB21" s="17" t="str">
        <f aca="false">IF(AND(ISNUMBER(Timeline!$E26),ISNUMBER(Timeline!$F26),AB$4&lt;=Timeline!$F26,EOMONTH(AB$4,0)&gt;=Timeline!$E26),"C",IF(AND(ISNUMBER(Timeline!$F26),ISNUMBER(Timeline!$K26),AB$4&lt;=Timeline!$K26,EOMONTH(AB$4,0)&gt;Timeline!$F26),"P",IF(AND(ISNUMBER(Timeline!$H26),ISNUMBER(Timeline!$K26),NOT(ISNUMBER(Timeline!$F26)),AB$4&lt;=Timeline!$K26,EOMONTH(AB$4,0)&gt;=Timeline!$H26),"P",IF(AND(ISNUMBER(Timeline!$K26),ISNUMBER(Timeline!$O26),AB$4&lt;=Timeline!$O26,EOMONTH(AB$4,0)&gt;Timeline!$K26),"S",""))))</f>
        <v>S</v>
      </c>
      <c r="AC21" s="17" t="str">
        <f aca="false">IF(AND(ISNUMBER(Timeline!$E26),ISNUMBER(Timeline!$F26),AC$4&lt;=Timeline!$F26,EOMONTH(AC$4,0)&gt;=Timeline!$E26),"C",IF(AND(ISNUMBER(Timeline!$F26),ISNUMBER(Timeline!$K26),AC$4&lt;=Timeline!$K26,EOMONTH(AC$4,0)&gt;Timeline!$F26),"P",IF(AND(ISNUMBER(Timeline!$H26),ISNUMBER(Timeline!$K26),NOT(ISNUMBER(Timeline!$F26)),AC$4&lt;=Timeline!$K26,EOMONTH(AC$4,0)&gt;=Timeline!$H26),"P",IF(AND(ISNUMBER(Timeline!$K26),ISNUMBER(Timeline!$O26),AC$4&lt;=Timeline!$O26,EOMONTH(AC$4,0)&gt;Timeline!$K26),"S",""))))</f>
        <v>S</v>
      </c>
      <c r="AD21" s="17" t="str">
        <f aca="false">IF(AND(ISNUMBER(Timeline!$E26),ISNUMBER(Timeline!$F26),AD$4&lt;=Timeline!$F26,EOMONTH(AD$4,0)&gt;=Timeline!$E26),"C",IF(AND(ISNUMBER(Timeline!$F26),ISNUMBER(Timeline!$K26),AD$4&lt;=Timeline!$K26,EOMONTH(AD$4,0)&gt;Timeline!$F26),"P",IF(AND(ISNUMBER(Timeline!$H26),ISNUMBER(Timeline!$K26),NOT(ISNUMBER(Timeline!$F26)),AD$4&lt;=Timeline!$K26,EOMONTH(AD$4,0)&gt;=Timeline!$H26),"P",IF(AND(ISNUMBER(Timeline!$K26),ISNUMBER(Timeline!$O26),AD$4&lt;=Timeline!$O26,EOMONTH(AD$4,0)&gt;Timeline!$K26),"S",""))))</f>
        <v>S</v>
      </c>
      <c r="AE21" s="17" t="str">
        <f aca="false">IF(AND(ISNUMBER(Timeline!$E26),ISNUMBER(Timeline!$F26),AE$4&lt;=Timeline!$F26,EOMONTH(AE$4,0)&gt;=Timeline!$E26),"C",IF(AND(ISNUMBER(Timeline!$F26),ISNUMBER(Timeline!$K26),AE$4&lt;=Timeline!$K26,EOMONTH(AE$4,0)&gt;Timeline!$F26),"P",IF(AND(ISNUMBER(Timeline!$H26),ISNUMBER(Timeline!$K26),NOT(ISNUMBER(Timeline!$F26)),AE$4&lt;=Timeline!$K26,EOMONTH(AE$4,0)&gt;=Timeline!$H26),"P",IF(AND(ISNUMBER(Timeline!$K26),ISNUMBER(Timeline!$O26),AE$4&lt;=Timeline!$O26,EOMONTH(AE$4,0)&gt;Timeline!$K26),"S",""))))</f>
        <v/>
      </c>
      <c r="AF21" s="17" t="str">
        <f aca="false">IF(AND(ISNUMBER(Timeline!$E26),ISNUMBER(Timeline!$F26),AF$4&lt;=Timeline!$F26,EOMONTH(AF$4,0)&gt;=Timeline!$E26),"C",IF(AND(ISNUMBER(Timeline!$F26),ISNUMBER(Timeline!$K26),AF$4&lt;=Timeline!$K26,EOMONTH(AF$4,0)&gt;Timeline!$F26),"P",IF(AND(ISNUMBER(Timeline!$H26),ISNUMBER(Timeline!$K26),NOT(ISNUMBER(Timeline!$F26)),AF$4&lt;=Timeline!$K26,EOMONTH(AF$4,0)&gt;=Timeline!$H26),"P",IF(AND(ISNUMBER(Timeline!$K26),ISNUMBER(Timeline!$O26),AF$4&lt;=Timeline!$O26,EOMONTH(AF$4,0)&gt;Timeline!$K26),"S",""))))</f>
        <v/>
      </c>
      <c r="AG21" s="17" t="str">
        <f aca="false">IF(AND(ISNUMBER(Timeline!$E26),ISNUMBER(Timeline!$F26),AG$4&lt;=Timeline!$F26,EOMONTH(AG$4,0)&gt;=Timeline!$E26),"C",IF(AND(ISNUMBER(Timeline!$F26),ISNUMBER(Timeline!$K26),AG$4&lt;=Timeline!$K26,EOMONTH(AG$4,0)&gt;Timeline!$F26),"P",IF(AND(ISNUMBER(Timeline!$H26),ISNUMBER(Timeline!$K26),NOT(ISNUMBER(Timeline!$F26)),AG$4&lt;=Timeline!$K26,EOMONTH(AG$4,0)&gt;=Timeline!$H26),"P",IF(AND(ISNUMBER(Timeline!$K26),ISNUMBER(Timeline!$O26),AG$4&lt;=Timeline!$O26,EOMONTH(AG$4,0)&gt;Timeline!$K26),"S",""))))</f>
        <v/>
      </c>
      <c r="AH21" s="17" t="str">
        <f aca="false">IF(AND(ISNUMBER(Timeline!$E26),ISNUMBER(Timeline!$F26),AH$4&lt;=Timeline!$F26,EOMONTH(AH$4,0)&gt;=Timeline!$E26),"C",IF(AND(ISNUMBER(Timeline!$F26),ISNUMBER(Timeline!$K26),AH$4&lt;=Timeline!$K26,EOMONTH(AH$4,0)&gt;Timeline!$F26),"P",IF(AND(ISNUMBER(Timeline!$H26),ISNUMBER(Timeline!$K26),NOT(ISNUMBER(Timeline!$F26)),AH$4&lt;=Timeline!$K26,EOMONTH(AH$4,0)&gt;=Timeline!$H26),"P",IF(AND(ISNUMBER(Timeline!$K26),ISNUMBER(Timeline!$O26),AH$4&lt;=Timeline!$O26,EOMONTH(AH$4,0)&gt;Timeline!$K26),"S",""))))</f>
        <v/>
      </c>
    </row>
    <row r="22" customFormat="false" ht="15" hidden="false" customHeight="false" outlineLevel="0" collapsed="false">
      <c r="A22" s="5" t="n">
        <v>18</v>
      </c>
      <c r="B22" s="16" t="s">
        <v>76</v>
      </c>
      <c r="C22" s="16" t="s">
        <v>26</v>
      </c>
      <c r="D22" s="17" t="str">
        <f aca="false">IF(AND(ISNUMBER(Timeline!$E27),ISNUMBER(Timeline!$F27),D$4&lt;=Timeline!$F27,EOMONTH(D$4,0)&gt;=Timeline!$E27),"C",IF(AND(ISNUMBER(Timeline!$F27),ISNUMBER(Timeline!$K27),D$4&lt;=Timeline!$K27,EOMONTH(D$4,0)&gt;Timeline!$F27),"P",IF(AND(ISNUMBER(Timeline!$H27),ISNUMBER(Timeline!$K27),NOT(ISNUMBER(Timeline!$F27)),D$4&lt;=Timeline!$K27,EOMONTH(D$4,0)&gt;=Timeline!$H27),"P",IF(AND(ISNUMBER(Timeline!$K27),ISNUMBER(Timeline!$O27),D$4&lt;=Timeline!$O27,EOMONTH(D$4,0)&gt;Timeline!$K27),"S",""))))</f>
        <v/>
      </c>
      <c r="E22" s="17" t="str">
        <f aca="false">IF(AND(ISNUMBER(Timeline!$E27),ISNUMBER(Timeline!$F27),E$4&lt;=Timeline!$F27,EOMONTH(E$4,0)&gt;=Timeline!$E27),"C",IF(AND(ISNUMBER(Timeline!$F27),ISNUMBER(Timeline!$K27),E$4&lt;=Timeline!$K27,EOMONTH(E$4,0)&gt;Timeline!$F27),"P",IF(AND(ISNUMBER(Timeline!$H27),ISNUMBER(Timeline!$K27),NOT(ISNUMBER(Timeline!$F27)),E$4&lt;=Timeline!$K27,EOMONTH(E$4,0)&gt;=Timeline!$H27),"P",IF(AND(ISNUMBER(Timeline!$K27),ISNUMBER(Timeline!$O27),E$4&lt;=Timeline!$O27,EOMONTH(E$4,0)&gt;Timeline!$K27),"S",""))))</f>
        <v/>
      </c>
      <c r="F22" s="17" t="str">
        <f aca="false">IF(AND(ISNUMBER(Timeline!$E27),ISNUMBER(Timeline!$F27),F$4&lt;=Timeline!$F27,EOMONTH(F$4,0)&gt;=Timeline!$E27),"C",IF(AND(ISNUMBER(Timeline!$F27),ISNUMBER(Timeline!$K27),F$4&lt;=Timeline!$K27,EOMONTH(F$4,0)&gt;Timeline!$F27),"P",IF(AND(ISNUMBER(Timeline!$H27),ISNUMBER(Timeline!$K27),NOT(ISNUMBER(Timeline!$F27)),F$4&lt;=Timeline!$K27,EOMONTH(F$4,0)&gt;=Timeline!$H27),"P",IF(AND(ISNUMBER(Timeline!$K27),ISNUMBER(Timeline!$O27),F$4&lt;=Timeline!$O27,EOMONTH(F$4,0)&gt;Timeline!$K27),"S",""))))</f>
        <v/>
      </c>
      <c r="G22" s="17" t="str">
        <f aca="false">IF(AND(ISNUMBER(Timeline!$E27),ISNUMBER(Timeline!$F27),G$4&lt;=Timeline!$F27,EOMONTH(G$4,0)&gt;=Timeline!$E27),"C",IF(AND(ISNUMBER(Timeline!$F27),ISNUMBER(Timeline!$K27),G$4&lt;=Timeline!$K27,EOMONTH(G$4,0)&gt;Timeline!$F27),"P",IF(AND(ISNUMBER(Timeline!$H27),ISNUMBER(Timeline!$K27),NOT(ISNUMBER(Timeline!$F27)),G$4&lt;=Timeline!$K27,EOMONTH(G$4,0)&gt;=Timeline!$H27),"P",IF(AND(ISNUMBER(Timeline!$K27),ISNUMBER(Timeline!$O27),G$4&lt;=Timeline!$O27,EOMONTH(G$4,0)&gt;Timeline!$K27),"S",""))))</f>
        <v/>
      </c>
      <c r="H22" s="17" t="str">
        <f aca="false">IF(AND(ISNUMBER(Timeline!$E27),ISNUMBER(Timeline!$F27),H$4&lt;=Timeline!$F27,EOMONTH(H$4,0)&gt;=Timeline!$E27),"C",IF(AND(ISNUMBER(Timeline!$F27),ISNUMBER(Timeline!$K27),H$4&lt;=Timeline!$K27,EOMONTH(H$4,0)&gt;Timeline!$F27),"P",IF(AND(ISNUMBER(Timeline!$H27),ISNUMBER(Timeline!$K27),NOT(ISNUMBER(Timeline!$F27)),H$4&lt;=Timeline!$K27,EOMONTH(H$4,0)&gt;=Timeline!$H27),"P",IF(AND(ISNUMBER(Timeline!$K27),ISNUMBER(Timeline!$O27),H$4&lt;=Timeline!$O27,EOMONTH(H$4,0)&gt;Timeline!$K27),"S",""))))</f>
        <v/>
      </c>
      <c r="I22" s="17" t="str">
        <f aca="false">IF(AND(ISNUMBER(Timeline!$E27),ISNUMBER(Timeline!$F27),I$4&lt;=Timeline!$F27,EOMONTH(I$4,0)&gt;=Timeline!$E27),"C",IF(AND(ISNUMBER(Timeline!$F27),ISNUMBER(Timeline!$K27),I$4&lt;=Timeline!$K27,EOMONTH(I$4,0)&gt;Timeline!$F27),"P",IF(AND(ISNUMBER(Timeline!$H27),ISNUMBER(Timeline!$K27),NOT(ISNUMBER(Timeline!$F27)),I$4&lt;=Timeline!$K27,EOMONTH(I$4,0)&gt;=Timeline!$H27),"P",IF(AND(ISNUMBER(Timeline!$K27),ISNUMBER(Timeline!$O27),I$4&lt;=Timeline!$O27,EOMONTH(I$4,0)&gt;Timeline!$K27),"S",""))))</f>
        <v/>
      </c>
      <c r="J22" s="17" t="str">
        <f aca="false">IF(AND(ISNUMBER(Timeline!$E27),ISNUMBER(Timeline!$F27),J$4&lt;=Timeline!$F27,EOMONTH(J$4,0)&gt;=Timeline!$E27),"C",IF(AND(ISNUMBER(Timeline!$F27),ISNUMBER(Timeline!$K27),J$4&lt;=Timeline!$K27,EOMONTH(J$4,0)&gt;Timeline!$F27),"P",IF(AND(ISNUMBER(Timeline!$H27),ISNUMBER(Timeline!$K27),NOT(ISNUMBER(Timeline!$F27)),J$4&lt;=Timeline!$K27,EOMONTH(J$4,0)&gt;=Timeline!$H27),"P",IF(AND(ISNUMBER(Timeline!$K27),ISNUMBER(Timeline!$O27),J$4&lt;=Timeline!$O27,EOMONTH(J$4,0)&gt;Timeline!$K27),"S",""))))</f>
        <v/>
      </c>
      <c r="K22" s="17" t="str">
        <f aca="false">IF(AND(ISNUMBER(Timeline!$E27),ISNUMBER(Timeline!$F27),K$4&lt;=Timeline!$F27,EOMONTH(K$4,0)&gt;=Timeline!$E27),"C",IF(AND(ISNUMBER(Timeline!$F27),ISNUMBER(Timeline!$K27),K$4&lt;=Timeline!$K27,EOMONTH(K$4,0)&gt;Timeline!$F27),"P",IF(AND(ISNUMBER(Timeline!$H27),ISNUMBER(Timeline!$K27),NOT(ISNUMBER(Timeline!$F27)),K$4&lt;=Timeline!$K27,EOMONTH(K$4,0)&gt;=Timeline!$H27),"P",IF(AND(ISNUMBER(Timeline!$K27),ISNUMBER(Timeline!$O27),K$4&lt;=Timeline!$O27,EOMONTH(K$4,0)&gt;Timeline!$K27),"S",""))))</f>
        <v/>
      </c>
      <c r="L22" s="17" t="str">
        <f aca="false">IF(AND(ISNUMBER(Timeline!$E27),ISNUMBER(Timeline!$F27),L$4&lt;=Timeline!$F27,EOMONTH(L$4,0)&gt;=Timeline!$E27),"C",IF(AND(ISNUMBER(Timeline!$F27),ISNUMBER(Timeline!$K27),L$4&lt;=Timeline!$K27,EOMONTH(L$4,0)&gt;Timeline!$F27),"P",IF(AND(ISNUMBER(Timeline!$H27),ISNUMBER(Timeline!$K27),NOT(ISNUMBER(Timeline!$F27)),L$4&lt;=Timeline!$K27,EOMONTH(L$4,0)&gt;=Timeline!$H27),"P",IF(AND(ISNUMBER(Timeline!$K27),ISNUMBER(Timeline!$O27),L$4&lt;=Timeline!$O27,EOMONTH(L$4,0)&gt;Timeline!$K27),"S",""))))</f>
        <v/>
      </c>
      <c r="M22" s="17" t="str">
        <f aca="false">IF(AND(ISNUMBER(Timeline!$E27),ISNUMBER(Timeline!$F27),M$4&lt;=Timeline!$F27,EOMONTH(M$4,0)&gt;=Timeline!$E27),"C",IF(AND(ISNUMBER(Timeline!$F27),ISNUMBER(Timeline!$K27),M$4&lt;=Timeline!$K27,EOMONTH(M$4,0)&gt;Timeline!$F27),"P",IF(AND(ISNUMBER(Timeline!$H27),ISNUMBER(Timeline!$K27),NOT(ISNUMBER(Timeline!$F27)),M$4&lt;=Timeline!$K27,EOMONTH(M$4,0)&gt;=Timeline!$H27),"P",IF(AND(ISNUMBER(Timeline!$K27),ISNUMBER(Timeline!$O27),M$4&lt;=Timeline!$O27,EOMONTH(M$4,0)&gt;Timeline!$K27),"S",""))))</f>
        <v/>
      </c>
      <c r="N22" s="17" t="str">
        <f aca="false">IF(AND(ISNUMBER(Timeline!$E27),ISNUMBER(Timeline!$F27),N$4&lt;=Timeline!$F27,EOMONTH(N$4,0)&gt;=Timeline!$E27),"C",IF(AND(ISNUMBER(Timeline!$F27),ISNUMBER(Timeline!$K27),N$4&lt;=Timeline!$K27,EOMONTH(N$4,0)&gt;Timeline!$F27),"P",IF(AND(ISNUMBER(Timeline!$H27),ISNUMBER(Timeline!$K27),NOT(ISNUMBER(Timeline!$F27)),N$4&lt;=Timeline!$K27,EOMONTH(N$4,0)&gt;=Timeline!$H27),"P",IF(AND(ISNUMBER(Timeline!$K27),ISNUMBER(Timeline!$O27),N$4&lt;=Timeline!$O27,EOMONTH(N$4,0)&gt;Timeline!$K27),"S",""))))</f>
        <v/>
      </c>
      <c r="O22" s="17" t="str">
        <f aca="false">IF(AND(ISNUMBER(Timeline!$E27),ISNUMBER(Timeline!$F27),O$4&lt;=Timeline!$F27,EOMONTH(O$4,0)&gt;=Timeline!$E27),"C",IF(AND(ISNUMBER(Timeline!$F27),ISNUMBER(Timeline!$K27),O$4&lt;=Timeline!$K27,EOMONTH(O$4,0)&gt;Timeline!$F27),"P",IF(AND(ISNUMBER(Timeline!$H27),ISNUMBER(Timeline!$K27),NOT(ISNUMBER(Timeline!$F27)),O$4&lt;=Timeline!$K27,EOMONTH(O$4,0)&gt;=Timeline!$H27),"P",IF(AND(ISNUMBER(Timeline!$K27),ISNUMBER(Timeline!$O27),O$4&lt;=Timeline!$O27,EOMONTH(O$4,0)&gt;Timeline!$K27),"S",""))))</f>
        <v/>
      </c>
      <c r="P22" s="17" t="str">
        <f aca="false">IF(AND(ISNUMBER(Timeline!$E27),ISNUMBER(Timeline!$F27),P$4&lt;=Timeline!$F27,EOMONTH(P$4,0)&gt;=Timeline!$E27),"C",IF(AND(ISNUMBER(Timeline!$F27),ISNUMBER(Timeline!$K27),P$4&lt;=Timeline!$K27,EOMONTH(P$4,0)&gt;Timeline!$F27),"P",IF(AND(ISNUMBER(Timeline!$H27),ISNUMBER(Timeline!$K27),NOT(ISNUMBER(Timeline!$F27)),P$4&lt;=Timeline!$K27,EOMONTH(P$4,0)&gt;=Timeline!$H27),"P",IF(AND(ISNUMBER(Timeline!$K27),ISNUMBER(Timeline!$O27),P$4&lt;=Timeline!$O27,EOMONTH(P$4,0)&gt;Timeline!$K27),"S",""))))</f>
        <v>P</v>
      </c>
      <c r="Q22" s="17" t="str">
        <f aca="false">IF(AND(ISNUMBER(Timeline!$E27),ISNUMBER(Timeline!$F27),Q$4&lt;=Timeline!$F27,EOMONTH(Q$4,0)&gt;=Timeline!$E27),"C",IF(AND(ISNUMBER(Timeline!$F27),ISNUMBER(Timeline!$K27),Q$4&lt;=Timeline!$K27,EOMONTH(Q$4,0)&gt;Timeline!$F27),"P",IF(AND(ISNUMBER(Timeline!$H27),ISNUMBER(Timeline!$K27),NOT(ISNUMBER(Timeline!$F27)),Q$4&lt;=Timeline!$K27,EOMONTH(Q$4,0)&gt;=Timeline!$H27),"P",IF(AND(ISNUMBER(Timeline!$K27),ISNUMBER(Timeline!$O27),Q$4&lt;=Timeline!$O27,EOMONTH(Q$4,0)&gt;Timeline!$K27),"S",""))))</f>
        <v>P</v>
      </c>
      <c r="R22" s="17" t="str">
        <f aca="false">IF(AND(ISNUMBER(Timeline!$E27),ISNUMBER(Timeline!$F27),R$4&lt;=Timeline!$F27,EOMONTH(R$4,0)&gt;=Timeline!$E27),"C",IF(AND(ISNUMBER(Timeline!$F27),ISNUMBER(Timeline!$K27),R$4&lt;=Timeline!$K27,EOMONTH(R$4,0)&gt;Timeline!$F27),"P",IF(AND(ISNUMBER(Timeline!$H27),ISNUMBER(Timeline!$K27),NOT(ISNUMBER(Timeline!$F27)),R$4&lt;=Timeline!$K27,EOMONTH(R$4,0)&gt;=Timeline!$H27),"P",IF(AND(ISNUMBER(Timeline!$K27),ISNUMBER(Timeline!$O27),R$4&lt;=Timeline!$O27,EOMONTH(R$4,0)&gt;Timeline!$K27),"S",""))))</f>
        <v>P</v>
      </c>
      <c r="S22" s="17" t="str">
        <f aca="false">IF(AND(ISNUMBER(Timeline!$E27),ISNUMBER(Timeline!$F27),S$4&lt;=Timeline!$F27,EOMONTH(S$4,0)&gt;=Timeline!$E27),"C",IF(AND(ISNUMBER(Timeline!$F27),ISNUMBER(Timeline!$K27),S$4&lt;=Timeline!$K27,EOMONTH(S$4,0)&gt;Timeline!$F27),"P",IF(AND(ISNUMBER(Timeline!$H27),ISNUMBER(Timeline!$K27),NOT(ISNUMBER(Timeline!$F27)),S$4&lt;=Timeline!$K27,EOMONTH(S$4,0)&gt;=Timeline!$H27),"P",IF(AND(ISNUMBER(Timeline!$K27),ISNUMBER(Timeline!$O27),S$4&lt;=Timeline!$O27,EOMONTH(S$4,0)&gt;Timeline!$K27),"S",""))))</f>
        <v>P</v>
      </c>
      <c r="T22" s="17" t="str">
        <f aca="false">IF(AND(ISNUMBER(Timeline!$E27),ISNUMBER(Timeline!$F27),T$4&lt;=Timeline!$F27,EOMONTH(T$4,0)&gt;=Timeline!$E27),"C",IF(AND(ISNUMBER(Timeline!$F27),ISNUMBER(Timeline!$K27),T$4&lt;=Timeline!$K27,EOMONTH(T$4,0)&gt;Timeline!$F27),"P",IF(AND(ISNUMBER(Timeline!$H27),ISNUMBER(Timeline!$K27),NOT(ISNUMBER(Timeline!$F27)),T$4&lt;=Timeline!$K27,EOMONTH(T$4,0)&gt;=Timeline!$H27),"P",IF(AND(ISNUMBER(Timeline!$K27),ISNUMBER(Timeline!$O27),T$4&lt;=Timeline!$O27,EOMONTH(T$4,0)&gt;Timeline!$K27),"S",""))))</f>
        <v>P</v>
      </c>
      <c r="U22" s="17" t="str">
        <f aca="false">IF(AND(ISNUMBER(Timeline!$E27),ISNUMBER(Timeline!$F27),U$4&lt;=Timeline!$F27,EOMONTH(U$4,0)&gt;=Timeline!$E27),"C",IF(AND(ISNUMBER(Timeline!$F27),ISNUMBER(Timeline!$K27),U$4&lt;=Timeline!$K27,EOMONTH(U$4,0)&gt;Timeline!$F27),"P",IF(AND(ISNUMBER(Timeline!$H27),ISNUMBER(Timeline!$K27),NOT(ISNUMBER(Timeline!$F27)),U$4&lt;=Timeline!$K27,EOMONTH(U$4,0)&gt;=Timeline!$H27),"P",IF(AND(ISNUMBER(Timeline!$K27),ISNUMBER(Timeline!$O27),U$4&lt;=Timeline!$O27,EOMONTH(U$4,0)&gt;Timeline!$K27),"S",""))))</f>
        <v>P</v>
      </c>
      <c r="V22" s="17" t="str">
        <f aca="false">IF(AND(ISNUMBER(Timeline!$E27),ISNUMBER(Timeline!$F27),V$4&lt;=Timeline!$F27,EOMONTH(V$4,0)&gt;=Timeline!$E27),"C",IF(AND(ISNUMBER(Timeline!$F27),ISNUMBER(Timeline!$K27),V$4&lt;=Timeline!$K27,EOMONTH(V$4,0)&gt;Timeline!$F27),"P",IF(AND(ISNUMBER(Timeline!$H27),ISNUMBER(Timeline!$K27),NOT(ISNUMBER(Timeline!$F27)),V$4&lt;=Timeline!$K27,EOMONTH(V$4,0)&gt;=Timeline!$H27),"P",IF(AND(ISNUMBER(Timeline!$K27),ISNUMBER(Timeline!$O27),V$4&lt;=Timeline!$O27,EOMONTH(V$4,0)&gt;Timeline!$K27),"S",""))))</f>
        <v>P</v>
      </c>
      <c r="W22" s="17" t="str">
        <f aca="false">IF(AND(ISNUMBER(Timeline!$E27),ISNUMBER(Timeline!$F27),W$4&lt;=Timeline!$F27,EOMONTH(W$4,0)&gt;=Timeline!$E27),"C",IF(AND(ISNUMBER(Timeline!$F27),ISNUMBER(Timeline!$K27),W$4&lt;=Timeline!$K27,EOMONTH(W$4,0)&gt;Timeline!$F27),"P",IF(AND(ISNUMBER(Timeline!$H27),ISNUMBER(Timeline!$K27),NOT(ISNUMBER(Timeline!$F27)),W$4&lt;=Timeline!$K27,EOMONTH(W$4,0)&gt;=Timeline!$H27),"P",IF(AND(ISNUMBER(Timeline!$K27),ISNUMBER(Timeline!$O27),W$4&lt;=Timeline!$O27,EOMONTH(W$4,0)&gt;Timeline!$K27),"S",""))))</f>
        <v>P</v>
      </c>
      <c r="X22" s="17" t="str">
        <f aca="false">IF(AND(ISNUMBER(Timeline!$E27),ISNUMBER(Timeline!$F27),X$4&lt;=Timeline!$F27,EOMONTH(X$4,0)&gt;=Timeline!$E27),"C",IF(AND(ISNUMBER(Timeline!$F27),ISNUMBER(Timeline!$K27),X$4&lt;=Timeline!$K27,EOMONTH(X$4,0)&gt;Timeline!$F27),"P",IF(AND(ISNUMBER(Timeline!$H27),ISNUMBER(Timeline!$K27),NOT(ISNUMBER(Timeline!$F27)),X$4&lt;=Timeline!$K27,EOMONTH(X$4,0)&gt;=Timeline!$H27),"P",IF(AND(ISNUMBER(Timeline!$K27),ISNUMBER(Timeline!$O27),X$4&lt;=Timeline!$O27,EOMONTH(X$4,0)&gt;Timeline!$K27),"S",""))))</f>
        <v>P</v>
      </c>
      <c r="Y22" s="17" t="str">
        <f aca="false">IF(AND(ISNUMBER(Timeline!$E27),ISNUMBER(Timeline!$F27),Y$4&lt;=Timeline!$F27,EOMONTH(Y$4,0)&gt;=Timeline!$E27),"C",IF(AND(ISNUMBER(Timeline!$F27),ISNUMBER(Timeline!$K27),Y$4&lt;=Timeline!$K27,EOMONTH(Y$4,0)&gt;Timeline!$F27),"P",IF(AND(ISNUMBER(Timeline!$H27),ISNUMBER(Timeline!$K27),NOT(ISNUMBER(Timeline!$F27)),Y$4&lt;=Timeline!$K27,EOMONTH(Y$4,0)&gt;=Timeline!$H27),"P",IF(AND(ISNUMBER(Timeline!$K27),ISNUMBER(Timeline!$O27),Y$4&lt;=Timeline!$O27,EOMONTH(Y$4,0)&gt;Timeline!$K27),"S",""))))</f>
        <v>P</v>
      </c>
      <c r="Z22" s="17" t="str">
        <f aca="false">IF(AND(ISNUMBER(Timeline!$E27),ISNUMBER(Timeline!$F27),Z$4&lt;=Timeline!$F27,EOMONTH(Z$4,0)&gt;=Timeline!$E27),"C",IF(AND(ISNUMBER(Timeline!$F27),ISNUMBER(Timeline!$K27),Z$4&lt;=Timeline!$K27,EOMONTH(Z$4,0)&gt;Timeline!$F27),"P",IF(AND(ISNUMBER(Timeline!$H27),ISNUMBER(Timeline!$K27),NOT(ISNUMBER(Timeline!$F27)),Z$4&lt;=Timeline!$K27,EOMONTH(Z$4,0)&gt;=Timeline!$H27),"P",IF(AND(ISNUMBER(Timeline!$K27),ISNUMBER(Timeline!$O27),Z$4&lt;=Timeline!$O27,EOMONTH(Z$4,0)&gt;Timeline!$K27),"S",""))))</f>
        <v>P</v>
      </c>
      <c r="AA22" s="17" t="str">
        <f aca="false">IF(AND(ISNUMBER(Timeline!$E27),ISNUMBER(Timeline!$F27),AA$4&lt;=Timeline!$F27,EOMONTH(AA$4,0)&gt;=Timeline!$E27),"C",IF(AND(ISNUMBER(Timeline!$F27),ISNUMBER(Timeline!$K27),AA$4&lt;=Timeline!$K27,EOMONTH(AA$4,0)&gt;Timeline!$F27),"P",IF(AND(ISNUMBER(Timeline!$H27),ISNUMBER(Timeline!$K27),NOT(ISNUMBER(Timeline!$F27)),AA$4&lt;=Timeline!$K27,EOMONTH(AA$4,0)&gt;=Timeline!$H27),"P",IF(AND(ISNUMBER(Timeline!$K27),ISNUMBER(Timeline!$O27),AA$4&lt;=Timeline!$O27,EOMONTH(AA$4,0)&gt;Timeline!$K27),"S",""))))</f>
        <v>S</v>
      </c>
      <c r="AB22" s="17" t="str">
        <f aca="false">IF(AND(ISNUMBER(Timeline!$E27),ISNUMBER(Timeline!$F27),AB$4&lt;=Timeline!$F27,EOMONTH(AB$4,0)&gt;=Timeline!$E27),"C",IF(AND(ISNUMBER(Timeline!$F27),ISNUMBER(Timeline!$K27),AB$4&lt;=Timeline!$K27,EOMONTH(AB$4,0)&gt;Timeline!$F27),"P",IF(AND(ISNUMBER(Timeline!$H27),ISNUMBER(Timeline!$K27),NOT(ISNUMBER(Timeline!$F27)),AB$4&lt;=Timeline!$K27,EOMONTH(AB$4,0)&gt;=Timeline!$H27),"P",IF(AND(ISNUMBER(Timeline!$K27),ISNUMBER(Timeline!$O27),AB$4&lt;=Timeline!$O27,EOMONTH(AB$4,0)&gt;Timeline!$K27),"S",""))))</f>
        <v>S</v>
      </c>
      <c r="AC22" s="17" t="str">
        <f aca="false">IF(AND(ISNUMBER(Timeline!$E27),ISNUMBER(Timeline!$F27),AC$4&lt;=Timeline!$F27,EOMONTH(AC$4,0)&gt;=Timeline!$E27),"C",IF(AND(ISNUMBER(Timeline!$F27),ISNUMBER(Timeline!$K27),AC$4&lt;=Timeline!$K27,EOMONTH(AC$4,0)&gt;Timeline!$F27),"P",IF(AND(ISNUMBER(Timeline!$H27),ISNUMBER(Timeline!$K27),NOT(ISNUMBER(Timeline!$F27)),AC$4&lt;=Timeline!$K27,EOMONTH(AC$4,0)&gt;=Timeline!$H27),"P",IF(AND(ISNUMBER(Timeline!$K27),ISNUMBER(Timeline!$O27),AC$4&lt;=Timeline!$O27,EOMONTH(AC$4,0)&gt;Timeline!$K27),"S",""))))</f>
        <v>S</v>
      </c>
      <c r="AD22" s="17" t="str">
        <f aca="false">IF(AND(ISNUMBER(Timeline!$E27),ISNUMBER(Timeline!$F27),AD$4&lt;=Timeline!$F27,EOMONTH(AD$4,0)&gt;=Timeline!$E27),"C",IF(AND(ISNUMBER(Timeline!$F27),ISNUMBER(Timeline!$K27),AD$4&lt;=Timeline!$K27,EOMONTH(AD$4,0)&gt;Timeline!$F27),"P",IF(AND(ISNUMBER(Timeline!$H27),ISNUMBER(Timeline!$K27),NOT(ISNUMBER(Timeline!$F27)),AD$4&lt;=Timeline!$K27,EOMONTH(AD$4,0)&gt;=Timeline!$H27),"P",IF(AND(ISNUMBER(Timeline!$K27),ISNUMBER(Timeline!$O27),AD$4&lt;=Timeline!$O27,EOMONTH(AD$4,0)&gt;Timeline!$K27),"S",""))))</f>
        <v>S</v>
      </c>
      <c r="AE22" s="17" t="str">
        <f aca="false">IF(AND(ISNUMBER(Timeline!$E27),ISNUMBER(Timeline!$F27),AE$4&lt;=Timeline!$F27,EOMONTH(AE$4,0)&gt;=Timeline!$E27),"C",IF(AND(ISNUMBER(Timeline!$F27),ISNUMBER(Timeline!$K27),AE$4&lt;=Timeline!$K27,EOMONTH(AE$4,0)&gt;Timeline!$F27),"P",IF(AND(ISNUMBER(Timeline!$H27),ISNUMBER(Timeline!$K27),NOT(ISNUMBER(Timeline!$F27)),AE$4&lt;=Timeline!$K27,EOMONTH(AE$4,0)&gt;=Timeline!$H27),"P",IF(AND(ISNUMBER(Timeline!$K27),ISNUMBER(Timeline!$O27),AE$4&lt;=Timeline!$O27,EOMONTH(AE$4,0)&gt;Timeline!$K27),"S",""))))</f>
        <v/>
      </c>
      <c r="AF22" s="17" t="str">
        <f aca="false">IF(AND(ISNUMBER(Timeline!$E27),ISNUMBER(Timeline!$F27),AF$4&lt;=Timeline!$F27,EOMONTH(AF$4,0)&gt;=Timeline!$E27),"C",IF(AND(ISNUMBER(Timeline!$F27),ISNUMBER(Timeline!$K27),AF$4&lt;=Timeline!$K27,EOMONTH(AF$4,0)&gt;Timeline!$F27),"P",IF(AND(ISNUMBER(Timeline!$H27),ISNUMBER(Timeline!$K27),NOT(ISNUMBER(Timeline!$F27)),AF$4&lt;=Timeline!$K27,EOMONTH(AF$4,0)&gt;=Timeline!$H27),"P",IF(AND(ISNUMBER(Timeline!$K27),ISNUMBER(Timeline!$O27),AF$4&lt;=Timeline!$O27,EOMONTH(AF$4,0)&gt;Timeline!$K27),"S",""))))</f>
        <v/>
      </c>
      <c r="AG22" s="17" t="str">
        <f aca="false">IF(AND(ISNUMBER(Timeline!$E27),ISNUMBER(Timeline!$F27),AG$4&lt;=Timeline!$F27,EOMONTH(AG$4,0)&gt;=Timeline!$E27),"C",IF(AND(ISNUMBER(Timeline!$F27),ISNUMBER(Timeline!$K27),AG$4&lt;=Timeline!$K27,EOMONTH(AG$4,0)&gt;Timeline!$F27),"P",IF(AND(ISNUMBER(Timeline!$H27),ISNUMBER(Timeline!$K27),NOT(ISNUMBER(Timeline!$F27)),AG$4&lt;=Timeline!$K27,EOMONTH(AG$4,0)&gt;=Timeline!$H27),"P",IF(AND(ISNUMBER(Timeline!$K27),ISNUMBER(Timeline!$O27),AG$4&lt;=Timeline!$O27,EOMONTH(AG$4,0)&gt;Timeline!$K27),"S",""))))</f>
        <v/>
      </c>
      <c r="AH22" s="17" t="str">
        <f aca="false">IF(AND(ISNUMBER(Timeline!$E27),ISNUMBER(Timeline!$F27),AH$4&lt;=Timeline!$F27,EOMONTH(AH$4,0)&gt;=Timeline!$E27),"C",IF(AND(ISNUMBER(Timeline!$F27),ISNUMBER(Timeline!$K27),AH$4&lt;=Timeline!$K27,EOMONTH(AH$4,0)&gt;Timeline!$F27),"P",IF(AND(ISNUMBER(Timeline!$H27),ISNUMBER(Timeline!$K27),NOT(ISNUMBER(Timeline!$F27)),AH$4&lt;=Timeline!$K27,EOMONTH(AH$4,0)&gt;=Timeline!$H27),"P",IF(AND(ISNUMBER(Timeline!$K27),ISNUMBER(Timeline!$O27),AH$4&lt;=Timeline!$O27,EOMONTH(AH$4,0)&gt;Timeline!$K27),"S",""))))</f>
        <v/>
      </c>
    </row>
    <row r="23" customFormat="false" ht="15" hidden="false" customHeight="false" outlineLevel="0" collapsed="false">
      <c r="A23" s="5" t="n">
        <v>19</v>
      </c>
      <c r="B23" s="16" t="s">
        <v>78</v>
      </c>
      <c r="C23" s="16" t="s">
        <v>55</v>
      </c>
      <c r="D23" s="17" t="str">
        <f aca="false">IF(AND(ISNUMBER(Timeline!$E28),ISNUMBER(Timeline!$F28),D$4&lt;=Timeline!$F28,EOMONTH(D$4,0)&gt;=Timeline!$E28),"C",IF(AND(ISNUMBER(Timeline!$F28),ISNUMBER(Timeline!$K28),D$4&lt;=Timeline!$K28,EOMONTH(D$4,0)&gt;Timeline!$F28),"P",IF(AND(ISNUMBER(Timeline!$H28),ISNUMBER(Timeline!$K28),NOT(ISNUMBER(Timeline!$F28)),D$4&lt;=Timeline!$K28,EOMONTH(D$4,0)&gt;=Timeline!$H28),"P",IF(AND(ISNUMBER(Timeline!$K28),ISNUMBER(Timeline!$O28),D$4&lt;=Timeline!$O28,EOMONTH(D$4,0)&gt;Timeline!$K28),"S",""))))</f>
        <v/>
      </c>
      <c r="E23" s="17" t="str">
        <f aca="false">IF(AND(ISNUMBER(Timeline!$E28),ISNUMBER(Timeline!$F28),E$4&lt;=Timeline!$F28,EOMONTH(E$4,0)&gt;=Timeline!$E28),"C",IF(AND(ISNUMBER(Timeline!$F28),ISNUMBER(Timeline!$K28),E$4&lt;=Timeline!$K28,EOMONTH(E$4,0)&gt;Timeline!$F28),"P",IF(AND(ISNUMBER(Timeline!$H28),ISNUMBER(Timeline!$K28),NOT(ISNUMBER(Timeline!$F28)),E$4&lt;=Timeline!$K28,EOMONTH(E$4,0)&gt;=Timeline!$H28),"P",IF(AND(ISNUMBER(Timeline!$K28),ISNUMBER(Timeline!$O28),E$4&lt;=Timeline!$O28,EOMONTH(E$4,0)&gt;Timeline!$K28),"S",""))))</f>
        <v/>
      </c>
      <c r="F23" s="17" t="str">
        <f aca="false">IF(AND(ISNUMBER(Timeline!$E28),ISNUMBER(Timeline!$F28),F$4&lt;=Timeline!$F28,EOMONTH(F$4,0)&gt;=Timeline!$E28),"C",IF(AND(ISNUMBER(Timeline!$F28),ISNUMBER(Timeline!$K28),F$4&lt;=Timeline!$K28,EOMONTH(F$4,0)&gt;Timeline!$F28),"P",IF(AND(ISNUMBER(Timeline!$H28),ISNUMBER(Timeline!$K28),NOT(ISNUMBER(Timeline!$F28)),F$4&lt;=Timeline!$K28,EOMONTH(F$4,0)&gt;=Timeline!$H28),"P",IF(AND(ISNUMBER(Timeline!$K28),ISNUMBER(Timeline!$O28),F$4&lt;=Timeline!$O28,EOMONTH(F$4,0)&gt;Timeline!$K28),"S",""))))</f>
        <v/>
      </c>
      <c r="G23" s="17" t="str">
        <f aca="false">IF(AND(ISNUMBER(Timeline!$E28),ISNUMBER(Timeline!$F28),G$4&lt;=Timeline!$F28,EOMONTH(G$4,0)&gt;=Timeline!$E28),"C",IF(AND(ISNUMBER(Timeline!$F28),ISNUMBER(Timeline!$K28),G$4&lt;=Timeline!$K28,EOMONTH(G$4,0)&gt;Timeline!$F28),"P",IF(AND(ISNUMBER(Timeline!$H28),ISNUMBER(Timeline!$K28),NOT(ISNUMBER(Timeline!$F28)),G$4&lt;=Timeline!$K28,EOMONTH(G$4,0)&gt;=Timeline!$H28),"P",IF(AND(ISNUMBER(Timeline!$K28),ISNUMBER(Timeline!$O28),G$4&lt;=Timeline!$O28,EOMONTH(G$4,0)&gt;Timeline!$K28),"S",""))))</f>
        <v/>
      </c>
      <c r="H23" s="17" t="str">
        <f aca="false">IF(AND(ISNUMBER(Timeline!$E28),ISNUMBER(Timeline!$F28),H$4&lt;=Timeline!$F28,EOMONTH(H$4,0)&gt;=Timeline!$E28),"C",IF(AND(ISNUMBER(Timeline!$F28),ISNUMBER(Timeline!$K28),H$4&lt;=Timeline!$K28,EOMONTH(H$4,0)&gt;Timeline!$F28),"P",IF(AND(ISNUMBER(Timeline!$H28),ISNUMBER(Timeline!$K28),NOT(ISNUMBER(Timeline!$F28)),H$4&lt;=Timeline!$K28,EOMONTH(H$4,0)&gt;=Timeline!$H28),"P",IF(AND(ISNUMBER(Timeline!$K28),ISNUMBER(Timeline!$O28),H$4&lt;=Timeline!$O28,EOMONTH(H$4,0)&gt;Timeline!$K28),"S",""))))</f>
        <v/>
      </c>
      <c r="I23" s="17" t="str">
        <f aca="false">IF(AND(ISNUMBER(Timeline!$E28),ISNUMBER(Timeline!$F28),I$4&lt;=Timeline!$F28,EOMONTH(I$4,0)&gt;=Timeline!$E28),"C",IF(AND(ISNUMBER(Timeline!$F28),ISNUMBER(Timeline!$K28),I$4&lt;=Timeline!$K28,EOMONTH(I$4,0)&gt;Timeline!$F28),"P",IF(AND(ISNUMBER(Timeline!$H28),ISNUMBER(Timeline!$K28),NOT(ISNUMBER(Timeline!$F28)),I$4&lt;=Timeline!$K28,EOMONTH(I$4,0)&gt;=Timeline!$H28),"P",IF(AND(ISNUMBER(Timeline!$K28),ISNUMBER(Timeline!$O28),I$4&lt;=Timeline!$O28,EOMONTH(I$4,0)&gt;Timeline!$K28),"S",""))))</f>
        <v/>
      </c>
      <c r="J23" s="17" t="str">
        <f aca="false">IF(AND(ISNUMBER(Timeline!$E28),ISNUMBER(Timeline!$F28),J$4&lt;=Timeline!$F28,EOMONTH(J$4,0)&gt;=Timeline!$E28),"C",IF(AND(ISNUMBER(Timeline!$F28),ISNUMBER(Timeline!$K28),J$4&lt;=Timeline!$K28,EOMONTH(J$4,0)&gt;Timeline!$F28),"P",IF(AND(ISNUMBER(Timeline!$H28),ISNUMBER(Timeline!$K28),NOT(ISNUMBER(Timeline!$F28)),J$4&lt;=Timeline!$K28,EOMONTH(J$4,0)&gt;=Timeline!$H28),"P",IF(AND(ISNUMBER(Timeline!$K28),ISNUMBER(Timeline!$O28),J$4&lt;=Timeline!$O28,EOMONTH(J$4,0)&gt;Timeline!$K28),"S",""))))</f>
        <v/>
      </c>
      <c r="K23" s="17" t="str">
        <f aca="false">IF(AND(ISNUMBER(Timeline!$E28),ISNUMBER(Timeline!$F28),K$4&lt;=Timeline!$F28,EOMONTH(K$4,0)&gt;=Timeline!$E28),"C",IF(AND(ISNUMBER(Timeline!$F28),ISNUMBER(Timeline!$K28),K$4&lt;=Timeline!$K28,EOMONTH(K$4,0)&gt;Timeline!$F28),"P",IF(AND(ISNUMBER(Timeline!$H28),ISNUMBER(Timeline!$K28),NOT(ISNUMBER(Timeline!$F28)),K$4&lt;=Timeline!$K28,EOMONTH(K$4,0)&gt;=Timeline!$H28),"P",IF(AND(ISNUMBER(Timeline!$K28),ISNUMBER(Timeline!$O28),K$4&lt;=Timeline!$O28,EOMONTH(K$4,0)&gt;Timeline!$K28),"S",""))))</f>
        <v/>
      </c>
      <c r="L23" s="17" t="str">
        <f aca="false">IF(AND(ISNUMBER(Timeline!$E28),ISNUMBER(Timeline!$F28),L$4&lt;=Timeline!$F28,EOMONTH(L$4,0)&gt;=Timeline!$E28),"C",IF(AND(ISNUMBER(Timeline!$F28),ISNUMBER(Timeline!$K28),L$4&lt;=Timeline!$K28,EOMONTH(L$4,0)&gt;Timeline!$F28),"P",IF(AND(ISNUMBER(Timeline!$H28),ISNUMBER(Timeline!$K28),NOT(ISNUMBER(Timeline!$F28)),L$4&lt;=Timeline!$K28,EOMONTH(L$4,0)&gt;=Timeline!$H28),"P",IF(AND(ISNUMBER(Timeline!$K28),ISNUMBER(Timeline!$O28),L$4&lt;=Timeline!$O28,EOMONTH(L$4,0)&gt;Timeline!$K28),"S",""))))</f>
        <v/>
      </c>
      <c r="M23" s="17" t="str">
        <f aca="false">IF(AND(ISNUMBER(Timeline!$E28),ISNUMBER(Timeline!$F28),M$4&lt;=Timeline!$F28,EOMONTH(M$4,0)&gt;=Timeline!$E28),"C",IF(AND(ISNUMBER(Timeline!$F28),ISNUMBER(Timeline!$K28),M$4&lt;=Timeline!$K28,EOMONTH(M$4,0)&gt;Timeline!$F28),"P",IF(AND(ISNUMBER(Timeline!$H28),ISNUMBER(Timeline!$K28),NOT(ISNUMBER(Timeline!$F28)),M$4&lt;=Timeline!$K28,EOMONTH(M$4,0)&gt;=Timeline!$H28),"P",IF(AND(ISNUMBER(Timeline!$K28),ISNUMBER(Timeline!$O28),M$4&lt;=Timeline!$O28,EOMONTH(M$4,0)&gt;Timeline!$K28),"S",""))))</f>
        <v/>
      </c>
      <c r="N23" s="17" t="str">
        <f aca="false">IF(AND(ISNUMBER(Timeline!$E28),ISNUMBER(Timeline!$F28),N$4&lt;=Timeline!$F28,EOMONTH(N$4,0)&gt;=Timeline!$E28),"C",IF(AND(ISNUMBER(Timeline!$F28),ISNUMBER(Timeline!$K28),N$4&lt;=Timeline!$K28,EOMONTH(N$4,0)&gt;Timeline!$F28),"P",IF(AND(ISNUMBER(Timeline!$H28),ISNUMBER(Timeline!$K28),NOT(ISNUMBER(Timeline!$F28)),N$4&lt;=Timeline!$K28,EOMONTH(N$4,0)&gt;=Timeline!$H28),"P",IF(AND(ISNUMBER(Timeline!$K28),ISNUMBER(Timeline!$O28),N$4&lt;=Timeline!$O28,EOMONTH(N$4,0)&gt;Timeline!$K28),"S",""))))</f>
        <v/>
      </c>
      <c r="O23" s="17" t="str">
        <f aca="false">IF(AND(ISNUMBER(Timeline!$E28),ISNUMBER(Timeline!$F28),O$4&lt;=Timeline!$F28,EOMONTH(O$4,0)&gt;=Timeline!$E28),"C",IF(AND(ISNUMBER(Timeline!$F28),ISNUMBER(Timeline!$K28),O$4&lt;=Timeline!$K28,EOMONTH(O$4,0)&gt;Timeline!$F28),"P",IF(AND(ISNUMBER(Timeline!$H28),ISNUMBER(Timeline!$K28),NOT(ISNUMBER(Timeline!$F28)),O$4&lt;=Timeline!$K28,EOMONTH(O$4,0)&gt;=Timeline!$H28),"P",IF(AND(ISNUMBER(Timeline!$K28),ISNUMBER(Timeline!$O28),O$4&lt;=Timeline!$O28,EOMONTH(O$4,0)&gt;Timeline!$K28),"S",""))))</f>
        <v/>
      </c>
      <c r="P23" s="17" t="str">
        <f aca="false">IF(AND(ISNUMBER(Timeline!$E28),ISNUMBER(Timeline!$F28),P$4&lt;=Timeline!$F28,EOMONTH(P$4,0)&gt;=Timeline!$E28),"C",IF(AND(ISNUMBER(Timeline!$F28),ISNUMBER(Timeline!$K28),P$4&lt;=Timeline!$K28,EOMONTH(P$4,0)&gt;Timeline!$F28),"P",IF(AND(ISNUMBER(Timeline!$H28),ISNUMBER(Timeline!$K28),NOT(ISNUMBER(Timeline!$F28)),P$4&lt;=Timeline!$K28,EOMONTH(P$4,0)&gt;=Timeline!$H28),"P",IF(AND(ISNUMBER(Timeline!$K28),ISNUMBER(Timeline!$O28),P$4&lt;=Timeline!$O28,EOMONTH(P$4,0)&gt;Timeline!$K28),"S",""))))</f>
        <v>P</v>
      </c>
      <c r="Q23" s="17" t="str">
        <f aca="false">IF(AND(ISNUMBER(Timeline!$E28),ISNUMBER(Timeline!$F28),Q$4&lt;=Timeline!$F28,EOMONTH(Q$4,0)&gt;=Timeline!$E28),"C",IF(AND(ISNUMBER(Timeline!$F28),ISNUMBER(Timeline!$K28),Q$4&lt;=Timeline!$K28,EOMONTH(Q$4,0)&gt;Timeline!$F28),"P",IF(AND(ISNUMBER(Timeline!$H28),ISNUMBER(Timeline!$K28),NOT(ISNUMBER(Timeline!$F28)),Q$4&lt;=Timeline!$K28,EOMONTH(Q$4,0)&gt;=Timeline!$H28),"P",IF(AND(ISNUMBER(Timeline!$K28),ISNUMBER(Timeline!$O28),Q$4&lt;=Timeline!$O28,EOMONTH(Q$4,0)&gt;Timeline!$K28),"S",""))))</f>
        <v>P</v>
      </c>
      <c r="R23" s="17" t="str">
        <f aca="false">IF(AND(ISNUMBER(Timeline!$E28),ISNUMBER(Timeline!$F28),R$4&lt;=Timeline!$F28,EOMONTH(R$4,0)&gt;=Timeline!$E28),"C",IF(AND(ISNUMBER(Timeline!$F28),ISNUMBER(Timeline!$K28),R$4&lt;=Timeline!$K28,EOMONTH(R$4,0)&gt;Timeline!$F28),"P",IF(AND(ISNUMBER(Timeline!$H28),ISNUMBER(Timeline!$K28),NOT(ISNUMBER(Timeline!$F28)),R$4&lt;=Timeline!$K28,EOMONTH(R$4,0)&gt;=Timeline!$H28),"P",IF(AND(ISNUMBER(Timeline!$K28),ISNUMBER(Timeline!$O28),R$4&lt;=Timeline!$O28,EOMONTH(R$4,0)&gt;Timeline!$K28),"S",""))))</f>
        <v>P</v>
      </c>
      <c r="S23" s="17" t="str">
        <f aca="false">IF(AND(ISNUMBER(Timeline!$E28),ISNUMBER(Timeline!$F28),S$4&lt;=Timeline!$F28,EOMONTH(S$4,0)&gt;=Timeline!$E28),"C",IF(AND(ISNUMBER(Timeline!$F28),ISNUMBER(Timeline!$K28),S$4&lt;=Timeline!$K28,EOMONTH(S$4,0)&gt;Timeline!$F28),"P",IF(AND(ISNUMBER(Timeline!$H28),ISNUMBER(Timeline!$K28),NOT(ISNUMBER(Timeline!$F28)),S$4&lt;=Timeline!$K28,EOMONTH(S$4,0)&gt;=Timeline!$H28),"P",IF(AND(ISNUMBER(Timeline!$K28),ISNUMBER(Timeline!$O28),S$4&lt;=Timeline!$O28,EOMONTH(S$4,0)&gt;Timeline!$K28),"S",""))))</f>
        <v>P</v>
      </c>
      <c r="T23" s="17" t="str">
        <f aca="false">IF(AND(ISNUMBER(Timeline!$E28),ISNUMBER(Timeline!$F28),T$4&lt;=Timeline!$F28,EOMONTH(T$4,0)&gt;=Timeline!$E28),"C",IF(AND(ISNUMBER(Timeline!$F28),ISNUMBER(Timeline!$K28),T$4&lt;=Timeline!$K28,EOMONTH(T$4,0)&gt;Timeline!$F28),"P",IF(AND(ISNUMBER(Timeline!$H28),ISNUMBER(Timeline!$K28),NOT(ISNUMBER(Timeline!$F28)),T$4&lt;=Timeline!$K28,EOMONTH(T$4,0)&gt;=Timeline!$H28),"P",IF(AND(ISNUMBER(Timeline!$K28),ISNUMBER(Timeline!$O28),T$4&lt;=Timeline!$O28,EOMONTH(T$4,0)&gt;Timeline!$K28),"S",""))))</f>
        <v>P</v>
      </c>
      <c r="U23" s="17" t="str">
        <f aca="false">IF(AND(ISNUMBER(Timeline!$E28),ISNUMBER(Timeline!$F28),U$4&lt;=Timeline!$F28,EOMONTH(U$4,0)&gt;=Timeline!$E28),"C",IF(AND(ISNUMBER(Timeline!$F28),ISNUMBER(Timeline!$K28),U$4&lt;=Timeline!$K28,EOMONTH(U$4,0)&gt;Timeline!$F28),"P",IF(AND(ISNUMBER(Timeline!$H28),ISNUMBER(Timeline!$K28),NOT(ISNUMBER(Timeline!$F28)),U$4&lt;=Timeline!$K28,EOMONTH(U$4,0)&gt;=Timeline!$H28),"P",IF(AND(ISNUMBER(Timeline!$K28),ISNUMBER(Timeline!$O28),U$4&lt;=Timeline!$O28,EOMONTH(U$4,0)&gt;Timeline!$K28),"S",""))))</f>
        <v>P</v>
      </c>
      <c r="V23" s="17" t="str">
        <f aca="false">IF(AND(ISNUMBER(Timeline!$E28),ISNUMBER(Timeline!$F28),V$4&lt;=Timeline!$F28,EOMONTH(V$4,0)&gt;=Timeline!$E28),"C",IF(AND(ISNUMBER(Timeline!$F28),ISNUMBER(Timeline!$K28),V$4&lt;=Timeline!$K28,EOMONTH(V$4,0)&gt;Timeline!$F28),"P",IF(AND(ISNUMBER(Timeline!$H28),ISNUMBER(Timeline!$K28),NOT(ISNUMBER(Timeline!$F28)),V$4&lt;=Timeline!$K28,EOMONTH(V$4,0)&gt;=Timeline!$H28),"P",IF(AND(ISNUMBER(Timeline!$K28),ISNUMBER(Timeline!$O28),V$4&lt;=Timeline!$O28,EOMONTH(V$4,0)&gt;Timeline!$K28),"S",""))))</f>
        <v>P</v>
      </c>
      <c r="W23" s="17" t="str">
        <f aca="false">IF(AND(ISNUMBER(Timeline!$E28),ISNUMBER(Timeline!$F28),W$4&lt;=Timeline!$F28,EOMONTH(W$4,0)&gt;=Timeline!$E28),"C",IF(AND(ISNUMBER(Timeline!$F28),ISNUMBER(Timeline!$K28),W$4&lt;=Timeline!$K28,EOMONTH(W$4,0)&gt;Timeline!$F28),"P",IF(AND(ISNUMBER(Timeline!$H28),ISNUMBER(Timeline!$K28),NOT(ISNUMBER(Timeline!$F28)),W$4&lt;=Timeline!$K28,EOMONTH(W$4,0)&gt;=Timeline!$H28),"P",IF(AND(ISNUMBER(Timeline!$K28),ISNUMBER(Timeline!$O28),W$4&lt;=Timeline!$O28,EOMONTH(W$4,0)&gt;Timeline!$K28),"S",""))))</f>
        <v>P</v>
      </c>
      <c r="X23" s="17" t="str">
        <f aca="false">IF(AND(ISNUMBER(Timeline!$E28),ISNUMBER(Timeline!$F28),X$4&lt;=Timeline!$F28,EOMONTH(X$4,0)&gt;=Timeline!$E28),"C",IF(AND(ISNUMBER(Timeline!$F28),ISNUMBER(Timeline!$K28),X$4&lt;=Timeline!$K28,EOMONTH(X$4,0)&gt;Timeline!$F28),"P",IF(AND(ISNUMBER(Timeline!$H28),ISNUMBER(Timeline!$K28),NOT(ISNUMBER(Timeline!$F28)),X$4&lt;=Timeline!$K28,EOMONTH(X$4,0)&gt;=Timeline!$H28),"P",IF(AND(ISNUMBER(Timeline!$K28),ISNUMBER(Timeline!$O28),X$4&lt;=Timeline!$O28,EOMONTH(X$4,0)&gt;Timeline!$K28),"S",""))))</f>
        <v/>
      </c>
      <c r="Y23" s="17" t="str">
        <f aca="false">IF(AND(ISNUMBER(Timeline!$E28),ISNUMBER(Timeline!$F28),Y$4&lt;=Timeline!$F28,EOMONTH(Y$4,0)&gt;=Timeline!$E28),"C",IF(AND(ISNUMBER(Timeline!$F28),ISNUMBER(Timeline!$K28),Y$4&lt;=Timeline!$K28,EOMONTH(Y$4,0)&gt;Timeline!$F28),"P",IF(AND(ISNUMBER(Timeline!$H28),ISNUMBER(Timeline!$K28),NOT(ISNUMBER(Timeline!$F28)),Y$4&lt;=Timeline!$K28,EOMONTH(Y$4,0)&gt;=Timeline!$H28),"P",IF(AND(ISNUMBER(Timeline!$K28),ISNUMBER(Timeline!$O28),Y$4&lt;=Timeline!$O28,EOMONTH(Y$4,0)&gt;Timeline!$K28),"S",""))))</f>
        <v/>
      </c>
      <c r="Z23" s="17" t="str">
        <f aca="false">IF(AND(ISNUMBER(Timeline!$E28),ISNUMBER(Timeline!$F28),Z$4&lt;=Timeline!$F28,EOMONTH(Z$4,0)&gt;=Timeline!$E28),"C",IF(AND(ISNUMBER(Timeline!$F28),ISNUMBER(Timeline!$K28),Z$4&lt;=Timeline!$K28,EOMONTH(Z$4,0)&gt;Timeline!$F28),"P",IF(AND(ISNUMBER(Timeline!$H28),ISNUMBER(Timeline!$K28),NOT(ISNUMBER(Timeline!$F28)),Z$4&lt;=Timeline!$K28,EOMONTH(Z$4,0)&gt;=Timeline!$H28),"P",IF(AND(ISNUMBER(Timeline!$K28),ISNUMBER(Timeline!$O28),Z$4&lt;=Timeline!$O28,EOMONTH(Z$4,0)&gt;Timeline!$K28),"S",""))))</f>
        <v/>
      </c>
      <c r="AA23" s="17" t="str">
        <f aca="false">IF(AND(ISNUMBER(Timeline!$E28),ISNUMBER(Timeline!$F28),AA$4&lt;=Timeline!$F28,EOMONTH(AA$4,0)&gt;=Timeline!$E28),"C",IF(AND(ISNUMBER(Timeline!$F28),ISNUMBER(Timeline!$K28),AA$4&lt;=Timeline!$K28,EOMONTH(AA$4,0)&gt;Timeline!$F28),"P",IF(AND(ISNUMBER(Timeline!$H28),ISNUMBER(Timeline!$K28),NOT(ISNUMBER(Timeline!$F28)),AA$4&lt;=Timeline!$K28,EOMONTH(AA$4,0)&gt;=Timeline!$H28),"P",IF(AND(ISNUMBER(Timeline!$K28),ISNUMBER(Timeline!$O28),AA$4&lt;=Timeline!$O28,EOMONTH(AA$4,0)&gt;Timeline!$K28),"S",""))))</f>
        <v/>
      </c>
      <c r="AB23" s="17" t="str">
        <f aca="false">IF(AND(ISNUMBER(Timeline!$E28),ISNUMBER(Timeline!$F28),AB$4&lt;=Timeline!$F28,EOMONTH(AB$4,0)&gt;=Timeline!$E28),"C",IF(AND(ISNUMBER(Timeline!$F28),ISNUMBER(Timeline!$K28),AB$4&lt;=Timeline!$K28,EOMONTH(AB$4,0)&gt;Timeline!$F28),"P",IF(AND(ISNUMBER(Timeline!$H28),ISNUMBER(Timeline!$K28),NOT(ISNUMBER(Timeline!$F28)),AB$4&lt;=Timeline!$K28,EOMONTH(AB$4,0)&gt;=Timeline!$H28),"P",IF(AND(ISNUMBER(Timeline!$K28),ISNUMBER(Timeline!$O28),AB$4&lt;=Timeline!$O28,EOMONTH(AB$4,0)&gt;Timeline!$K28),"S",""))))</f>
        <v/>
      </c>
      <c r="AC23" s="17" t="str">
        <f aca="false">IF(AND(ISNUMBER(Timeline!$E28),ISNUMBER(Timeline!$F28),AC$4&lt;=Timeline!$F28,EOMONTH(AC$4,0)&gt;=Timeline!$E28),"C",IF(AND(ISNUMBER(Timeline!$F28),ISNUMBER(Timeline!$K28),AC$4&lt;=Timeline!$K28,EOMONTH(AC$4,0)&gt;Timeline!$F28),"P",IF(AND(ISNUMBER(Timeline!$H28),ISNUMBER(Timeline!$K28),NOT(ISNUMBER(Timeline!$F28)),AC$4&lt;=Timeline!$K28,EOMONTH(AC$4,0)&gt;=Timeline!$H28),"P",IF(AND(ISNUMBER(Timeline!$K28),ISNUMBER(Timeline!$O28),AC$4&lt;=Timeline!$O28,EOMONTH(AC$4,0)&gt;Timeline!$K28),"S",""))))</f>
        <v/>
      </c>
      <c r="AD23" s="17" t="str">
        <f aca="false">IF(AND(ISNUMBER(Timeline!$E28),ISNUMBER(Timeline!$F28),AD$4&lt;=Timeline!$F28,EOMONTH(AD$4,0)&gt;=Timeline!$E28),"C",IF(AND(ISNUMBER(Timeline!$F28),ISNUMBER(Timeline!$K28),AD$4&lt;=Timeline!$K28,EOMONTH(AD$4,0)&gt;Timeline!$F28),"P",IF(AND(ISNUMBER(Timeline!$H28),ISNUMBER(Timeline!$K28),NOT(ISNUMBER(Timeline!$F28)),AD$4&lt;=Timeline!$K28,EOMONTH(AD$4,0)&gt;=Timeline!$H28),"P",IF(AND(ISNUMBER(Timeline!$K28),ISNUMBER(Timeline!$O28),AD$4&lt;=Timeline!$O28,EOMONTH(AD$4,0)&gt;Timeline!$K28),"S",""))))</f>
        <v/>
      </c>
      <c r="AE23" s="17" t="str">
        <f aca="false">IF(AND(ISNUMBER(Timeline!$E28),ISNUMBER(Timeline!$F28),AE$4&lt;=Timeline!$F28,EOMONTH(AE$4,0)&gt;=Timeline!$E28),"C",IF(AND(ISNUMBER(Timeline!$F28),ISNUMBER(Timeline!$K28),AE$4&lt;=Timeline!$K28,EOMONTH(AE$4,0)&gt;Timeline!$F28),"P",IF(AND(ISNUMBER(Timeline!$H28),ISNUMBER(Timeline!$K28),NOT(ISNUMBER(Timeline!$F28)),AE$4&lt;=Timeline!$K28,EOMONTH(AE$4,0)&gt;=Timeline!$H28),"P",IF(AND(ISNUMBER(Timeline!$K28),ISNUMBER(Timeline!$O28),AE$4&lt;=Timeline!$O28,EOMONTH(AE$4,0)&gt;Timeline!$K28),"S",""))))</f>
        <v/>
      </c>
      <c r="AF23" s="17" t="str">
        <f aca="false">IF(AND(ISNUMBER(Timeline!$E28),ISNUMBER(Timeline!$F28),AF$4&lt;=Timeline!$F28,EOMONTH(AF$4,0)&gt;=Timeline!$E28),"C",IF(AND(ISNUMBER(Timeline!$F28),ISNUMBER(Timeline!$K28),AF$4&lt;=Timeline!$K28,EOMONTH(AF$4,0)&gt;Timeline!$F28),"P",IF(AND(ISNUMBER(Timeline!$H28),ISNUMBER(Timeline!$K28),NOT(ISNUMBER(Timeline!$F28)),AF$4&lt;=Timeline!$K28,EOMONTH(AF$4,0)&gt;=Timeline!$H28),"P",IF(AND(ISNUMBER(Timeline!$K28),ISNUMBER(Timeline!$O28),AF$4&lt;=Timeline!$O28,EOMONTH(AF$4,0)&gt;Timeline!$K28),"S",""))))</f>
        <v/>
      </c>
      <c r="AG23" s="17" t="str">
        <f aca="false">IF(AND(ISNUMBER(Timeline!$E28),ISNUMBER(Timeline!$F28),AG$4&lt;=Timeline!$F28,EOMONTH(AG$4,0)&gt;=Timeline!$E28),"C",IF(AND(ISNUMBER(Timeline!$F28),ISNUMBER(Timeline!$K28),AG$4&lt;=Timeline!$K28,EOMONTH(AG$4,0)&gt;Timeline!$F28),"P",IF(AND(ISNUMBER(Timeline!$H28),ISNUMBER(Timeline!$K28),NOT(ISNUMBER(Timeline!$F28)),AG$4&lt;=Timeline!$K28,EOMONTH(AG$4,0)&gt;=Timeline!$H28),"P",IF(AND(ISNUMBER(Timeline!$K28),ISNUMBER(Timeline!$O28),AG$4&lt;=Timeline!$O28,EOMONTH(AG$4,0)&gt;Timeline!$K28),"S",""))))</f>
        <v/>
      </c>
      <c r="AH23" s="17" t="str">
        <f aca="false">IF(AND(ISNUMBER(Timeline!$E28),ISNUMBER(Timeline!$F28),AH$4&lt;=Timeline!$F28,EOMONTH(AH$4,0)&gt;=Timeline!$E28),"C",IF(AND(ISNUMBER(Timeline!$F28),ISNUMBER(Timeline!$K28),AH$4&lt;=Timeline!$K28,EOMONTH(AH$4,0)&gt;Timeline!$F28),"P",IF(AND(ISNUMBER(Timeline!$H28),ISNUMBER(Timeline!$K28),NOT(ISNUMBER(Timeline!$F28)),AH$4&lt;=Timeline!$K28,EOMONTH(AH$4,0)&gt;=Timeline!$H28),"P",IF(AND(ISNUMBER(Timeline!$K28),ISNUMBER(Timeline!$O28),AH$4&lt;=Timeline!$O28,EOMONTH(AH$4,0)&gt;Timeline!$K28),"S",""))))</f>
        <v/>
      </c>
    </row>
    <row r="24" customFormat="false" ht="15" hidden="false" customHeight="false" outlineLevel="0" collapsed="false">
      <c r="A24" s="5" t="n">
        <v>20</v>
      </c>
      <c r="B24" s="16" t="s">
        <v>81</v>
      </c>
      <c r="C24" s="16" t="s">
        <v>26</v>
      </c>
      <c r="D24" s="17" t="str">
        <f aca="false">IF(AND(ISNUMBER(Timeline!$E29),ISNUMBER(Timeline!$F29),D$4&lt;=Timeline!$F29,EOMONTH(D$4,0)&gt;=Timeline!$E29),"C",IF(AND(ISNUMBER(Timeline!$F29),ISNUMBER(Timeline!$K29),D$4&lt;=Timeline!$K29,EOMONTH(D$4,0)&gt;Timeline!$F29),"P",IF(AND(ISNUMBER(Timeline!$H29),ISNUMBER(Timeline!$K29),NOT(ISNUMBER(Timeline!$F29)),D$4&lt;=Timeline!$K29,EOMONTH(D$4,0)&gt;=Timeline!$H29),"P",IF(AND(ISNUMBER(Timeline!$K29),ISNUMBER(Timeline!$O29),D$4&lt;=Timeline!$O29,EOMONTH(D$4,0)&gt;Timeline!$K29),"S",""))))</f>
        <v/>
      </c>
      <c r="E24" s="17" t="str">
        <f aca="false">IF(AND(ISNUMBER(Timeline!$E29),ISNUMBER(Timeline!$F29),E$4&lt;=Timeline!$F29,EOMONTH(E$4,0)&gt;=Timeline!$E29),"C",IF(AND(ISNUMBER(Timeline!$F29),ISNUMBER(Timeline!$K29),E$4&lt;=Timeline!$K29,EOMONTH(E$4,0)&gt;Timeline!$F29),"P",IF(AND(ISNUMBER(Timeline!$H29),ISNUMBER(Timeline!$K29),NOT(ISNUMBER(Timeline!$F29)),E$4&lt;=Timeline!$K29,EOMONTH(E$4,0)&gt;=Timeline!$H29),"P",IF(AND(ISNUMBER(Timeline!$K29),ISNUMBER(Timeline!$O29),E$4&lt;=Timeline!$O29,EOMONTH(E$4,0)&gt;Timeline!$K29),"S",""))))</f>
        <v/>
      </c>
      <c r="F24" s="17" t="str">
        <f aca="false">IF(AND(ISNUMBER(Timeline!$E29),ISNUMBER(Timeline!$F29),F$4&lt;=Timeline!$F29,EOMONTH(F$4,0)&gt;=Timeline!$E29),"C",IF(AND(ISNUMBER(Timeline!$F29),ISNUMBER(Timeline!$K29),F$4&lt;=Timeline!$K29,EOMONTH(F$4,0)&gt;Timeline!$F29),"P",IF(AND(ISNUMBER(Timeline!$H29),ISNUMBER(Timeline!$K29),NOT(ISNUMBER(Timeline!$F29)),F$4&lt;=Timeline!$K29,EOMONTH(F$4,0)&gt;=Timeline!$H29),"P",IF(AND(ISNUMBER(Timeline!$K29),ISNUMBER(Timeline!$O29),F$4&lt;=Timeline!$O29,EOMONTH(F$4,0)&gt;Timeline!$K29),"S",""))))</f>
        <v/>
      </c>
      <c r="G24" s="17" t="str">
        <f aca="false">IF(AND(ISNUMBER(Timeline!$E29),ISNUMBER(Timeline!$F29),G$4&lt;=Timeline!$F29,EOMONTH(G$4,0)&gt;=Timeline!$E29),"C",IF(AND(ISNUMBER(Timeline!$F29),ISNUMBER(Timeline!$K29),G$4&lt;=Timeline!$K29,EOMONTH(G$4,0)&gt;Timeline!$F29),"P",IF(AND(ISNUMBER(Timeline!$H29),ISNUMBER(Timeline!$K29),NOT(ISNUMBER(Timeline!$F29)),G$4&lt;=Timeline!$K29,EOMONTH(G$4,0)&gt;=Timeline!$H29),"P",IF(AND(ISNUMBER(Timeline!$K29),ISNUMBER(Timeline!$O29),G$4&lt;=Timeline!$O29,EOMONTH(G$4,0)&gt;Timeline!$K29),"S",""))))</f>
        <v/>
      </c>
      <c r="H24" s="17" t="str">
        <f aca="false">IF(AND(ISNUMBER(Timeline!$E29),ISNUMBER(Timeline!$F29),H$4&lt;=Timeline!$F29,EOMONTH(H$4,0)&gt;=Timeline!$E29),"C",IF(AND(ISNUMBER(Timeline!$F29),ISNUMBER(Timeline!$K29),H$4&lt;=Timeline!$K29,EOMONTH(H$4,0)&gt;Timeline!$F29),"P",IF(AND(ISNUMBER(Timeline!$H29),ISNUMBER(Timeline!$K29),NOT(ISNUMBER(Timeline!$F29)),H$4&lt;=Timeline!$K29,EOMONTH(H$4,0)&gt;=Timeline!$H29),"P",IF(AND(ISNUMBER(Timeline!$K29),ISNUMBER(Timeline!$O29),H$4&lt;=Timeline!$O29,EOMONTH(H$4,0)&gt;Timeline!$K29),"S",""))))</f>
        <v/>
      </c>
      <c r="I24" s="17" t="str">
        <f aca="false">IF(AND(ISNUMBER(Timeline!$E29),ISNUMBER(Timeline!$F29),I$4&lt;=Timeline!$F29,EOMONTH(I$4,0)&gt;=Timeline!$E29),"C",IF(AND(ISNUMBER(Timeline!$F29),ISNUMBER(Timeline!$K29),I$4&lt;=Timeline!$K29,EOMONTH(I$4,0)&gt;Timeline!$F29),"P",IF(AND(ISNUMBER(Timeline!$H29),ISNUMBER(Timeline!$K29),NOT(ISNUMBER(Timeline!$F29)),I$4&lt;=Timeline!$K29,EOMONTH(I$4,0)&gt;=Timeline!$H29),"P",IF(AND(ISNUMBER(Timeline!$K29),ISNUMBER(Timeline!$O29),I$4&lt;=Timeline!$O29,EOMONTH(I$4,0)&gt;Timeline!$K29),"S",""))))</f>
        <v/>
      </c>
      <c r="J24" s="17" t="str">
        <f aca="false">IF(AND(ISNUMBER(Timeline!$E29),ISNUMBER(Timeline!$F29),J$4&lt;=Timeline!$F29,EOMONTH(J$4,0)&gt;=Timeline!$E29),"C",IF(AND(ISNUMBER(Timeline!$F29),ISNUMBER(Timeline!$K29),J$4&lt;=Timeline!$K29,EOMONTH(J$4,0)&gt;Timeline!$F29),"P",IF(AND(ISNUMBER(Timeline!$H29),ISNUMBER(Timeline!$K29),NOT(ISNUMBER(Timeline!$F29)),J$4&lt;=Timeline!$K29,EOMONTH(J$4,0)&gt;=Timeline!$H29),"P",IF(AND(ISNUMBER(Timeline!$K29),ISNUMBER(Timeline!$O29),J$4&lt;=Timeline!$O29,EOMONTH(J$4,0)&gt;Timeline!$K29),"S",""))))</f>
        <v/>
      </c>
      <c r="K24" s="17" t="str">
        <f aca="false">IF(AND(ISNUMBER(Timeline!$E29),ISNUMBER(Timeline!$F29),K$4&lt;=Timeline!$F29,EOMONTH(K$4,0)&gt;=Timeline!$E29),"C",IF(AND(ISNUMBER(Timeline!$F29),ISNUMBER(Timeline!$K29),K$4&lt;=Timeline!$K29,EOMONTH(K$4,0)&gt;Timeline!$F29),"P",IF(AND(ISNUMBER(Timeline!$H29),ISNUMBER(Timeline!$K29),NOT(ISNUMBER(Timeline!$F29)),K$4&lt;=Timeline!$K29,EOMONTH(K$4,0)&gt;=Timeline!$H29),"P",IF(AND(ISNUMBER(Timeline!$K29),ISNUMBER(Timeline!$O29),K$4&lt;=Timeline!$O29,EOMONTH(K$4,0)&gt;Timeline!$K29),"S",""))))</f>
        <v/>
      </c>
      <c r="L24" s="17" t="str">
        <f aca="false">IF(AND(ISNUMBER(Timeline!$E29),ISNUMBER(Timeline!$F29),L$4&lt;=Timeline!$F29,EOMONTH(L$4,0)&gt;=Timeline!$E29),"C",IF(AND(ISNUMBER(Timeline!$F29),ISNUMBER(Timeline!$K29),L$4&lt;=Timeline!$K29,EOMONTH(L$4,0)&gt;Timeline!$F29),"P",IF(AND(ISNUMBER(Timeline!$H29),ISNUMBER(Timeline!$K29),NOT(ISNUMBER(Timeline!$F29)),L$4&lt;=Timeline!$K29,EOMONTH(L$4,0)&gt;=Timeline!$H29),"P",IF(AND(ISNUMBER(Timeline!$K29),ISNUMBER(Timeline!$O29),L$4&lt;=Timeline!$O29,EOMONTH(L$4,0)&gt;Timeline!$K29),"S",""))))</f>
        <v/>
      </c>
      <c r="M24" s="17" t="str">
        <f aca="false">IF(AND(ISNUMBER(Timeline!$E29),ISNUMBER(Timeline!$F29),M$4&lt;=Timeline!$F29,EOMONTH(M$4,0)&gt;=Timeline!$E29),"C",IF(AND(ISNUMBER(Timeline!$F29),ISNUMBER(Timeline!$K29),M$4&lt;=Timeline!$K29,EOMONTH(M$4,0)&gt;Timeline!$F29),"P",IF(AND(ISNUMBER(Timeline!$H29),ISNUMBER(Timeline!$K29),NOT(ISNUMBER(Timeline!$F29)),M$4&lt;=Timeline!$K29,EOMONTH(M$4,0)&gt;=Timeline!$H29),"P",IF(AND(ISNUMBER(Timeline!$K29),ISNUMBER(Timeline!$O29),M$4&lt;=Timeline!$O29,EOMONTH(M$4,0)&gt;Timeline!$K29),"S",""))))</f>
        <v/>
      </c>
      <c r="N24" s="17" t="str">
        <f aca="false">IF(AND(ISNUMBER(Timeline!$E29),ISNUMBER(Timeline!$F29),N$4&lt;=Timeline!$F29,EOMONTH(N$4,0)&gt;=Timeline!$E29),"C",IF(AND(ISNUMBER(Timeline!$F29),ISNUMBER(Timeline!$K29),N$4&lt;=Timeline!$K29,EOMONTH(N$4,0)&gt;Timeline!$F29),"P",IF(AND(ISNUMBER(Timeline!$H29),ISNUMBER(Timeline!$K29),NOT(ISNUMBER(Timeline!$F29)),N$4&lt;=Timeline!$K29,EOMONTH(N$4,0)&gt;=Timeline!$H29),"P",IF(AND(ISNUMBER(Timeline!$K29),ISNUMBER(Timeline!$O29),N$4&lt;=Timeline!$O29,EOMONTH(N$4,0)&gt;Timeline!$K29),"S",""))))</f>
        <v/>
      </c>
      <c r="O24" s="17" t="str">
        <f aca="false">IF(AND(ISNUMBER(Timeline!$E29),ISNUMBER(Timeline!$F29),O$4&lt;=Timeline!$F29,EOMONTH(O$4,0)&gt;=Timeline!$E29),"C",IF(AND(ISNUMBER(Timeline!$F29),ISNUMBER(Timeline!$K29),O$4&lt;=Timeline!$K29,EOMONTH(O$4,0)&gt;Timeline!$F29),"P",IF(AND(ISNUMBER(Timeline!$H29),ISNUMBER(Timeline!$K29),NOT(ISNUMBER(Timeline!$F29)),O$4&lt;=Timeline!$K29,EOMONTH(O$4,0)&gt;=Timeline!$H29),"P",IF(AND(ISNUMBER(Timeline!$K29),ISNUMBER(Timeline!$O29),O$4&lt;=Timeline!$O29,EOMONTH(O$4,0)&gt;Timeline!$K29),"S",""))))</f>
        <v/>
      </c>
      <c r="P24" s="17" t="str">
        <f aca="false">IF(AND(ISNUMBER(Timeline!$E29),ISNUMBER(Timeline!$F29),P$4&lt;=Timeline!$F29,EOMONTH(P$4,0)&gt;=Timeline!$E29),"C",IF(AND(ISNUMBER(Timeline!$F29),ISNUMBER(Timeline!$K29),P$4&lt;=Timeline!$K29,EOMONTH(P$4,0)&gt;Timeline!$F29),"P",IF(AND(ISNUMBER(Timeline!$H29),ISNUMBER(Timeline!$K29),NOT(ISNUMBER(Timeline!$F29)),P$4&lt;=Timeline!$K29,EOMONTH(P$4,0)&gt;=Timeline!$H29),"P",IF(AND(ISNUMBER(Timeline!$K29),ISNUMBER(Timeline!$O29),P$4&lt;=Timeline!$O29,EOMONTH(P$4,0)&gt;Timeline!$K29),"S",""))))</f>
        <v/>
      </c>
      <c r="Q24" s="17" t="str">
        <f aca="false">IF(AND(ISNUMBER(Timeline!$E29),ISNUMBER(Timeline!$F29),Q$4&lt;=Timeline!$F29,EOMONTH(Q$4,0)&gt;=Timeline!$E29),"C",IF(AND(ISNUMBER(Timeline!$F29),ISNUMBER(Timeline!$K29),Q$4&lt;=Timeline!$K29,EOMONTH(Q$4,0)&gt;Timeline!$F29),"P",IF(AND(ISNUMBER(Timeline!$H29),ISNUMBER(Timeline!$K29),NOT(ISNUMBER(Timeline!$F29)),Q$4&lt;=Timeline!$K29,EOMONTH(Q$4,0)&gt;=Timeline!$H29),"P",IF(AND(ISNUMBER(Timeline!$K29),ISNUMBER(Timeline!$O29),Q$4&lt;=Timeline!$O29,EOMONTH(Q$4,0)&gt;Timeline!$K29),"S",""))))</f>
        <v/>
      </c>
      <c r="R24" s="17" t="str">
        <f aca="false">IF(AND(ISNUMBER(Timeline!$E29),ISNUMBER(Timeline!$F29),R$4&lt;=Timeline!$F29,EOMONTH(R$4,0)&gt;=Timeline!$E29),"C",IF(AND(ISNUMBER(Timeline!$F29),ISNUMBER(Timeline!$K29),R$4&lt;=Timeline!$K29,EOMONTH(R$4,0)&gt;Timeline!$F29),"P",IF(AND(ISNUMBER(Timeline!$H29),ISNUMBER(Timeline!$K29),NOT(ISNUMBER(Timeline!$F29)),R$4&lt;=Timeline!$K29,EOMONTH(R$4,0)&gt;=Timeline!$H29),"P",IF(AND(ISNUMBER(Timeline!$K29),ISNUMBER(Timeline!$O29),R$4&lt;=Timeline!$O29,EOMONTH(R$4,0)&gt;Timeline!$K29),"S",""))))</f>
        <v/>
      </c>
      <c r="S24" s="17" t="str">
        <f aca="false">IF(AND(ISNUMBER(Timeline!$E29),ISNUMBER(Timeline!$F29),S$4&lt;=Timeline!$F29,EOMONTH(S$4,0)&gt;=Timeline!$E29),"C",IF(AND(ISNUMBER(Timeline!$F29),ISNUMBER(Timeline!$K29),S$4&lt;=Timeline!$K29,EOMONTH(S$4,0)&gt;Timeline!$F29),"P",IF(AND(ISNUMBER(Timeline!$H29),ISNUMBER(Timeline!$K29),NOT(ISNUMBER(Timeline!$F29)),S$4&lt;=Timeline!$K29,EOMONTH(S$4,0)&gt;=Timeline!$H29),"P",IF(AND(ISNUMBER(Timeline!$K29),ISNUMBER(Timeline!$O29),S$4&lt;=Timeline!$O29,EOMONTH(S$4,0)&gt;Timeline!$K29),"S",""))))</f>
        <v>P</v>
      </c>
      <c r="T24" s="17" t="str">
        <f aca="false">IF(AND(ISNUMBER(Timeline!$E29),ISNUMBER(Timeline!$F29),T$4&lt;=Timeline!$F29,EOMONTH(T$4,0)&gt;=Timeline!$E29),"C",IF(AND(ISNUMBER(Timeline!$F29),ISNUMBER(Timeline!$K29),T$4&lt;=Timeline!$K29,EOMONTH(T$4,0)&gt;Timeline!$F29),"P",IF(AND(ISNUMBER(Timeline!$H29),ISNUMBER(Timeline!$K29),NOT(ISNUMBER(Timeline!$F29)),T$4&lt;=Timeline!$K29,EOMONTH(T$4,0)&gt;=Timeline!$H29),"P",IF(AND(ISNUMBER(Timeline!$K29),ISNUMBER(Timeline!$O29),T$4&lt;=Timeline!$O29,EOMONTH(T$4,0)&gt;Timeline!$K29),"S",""))))</f>
        <v>P</v>
      </c>
      <c r="U24" s="17" t="str">
        <f aca="false">IF(AND(ISNUMBER(Timeline!$E29),ISNUMBER(Timeline!$F29),U$4&lt;=Timeline!$F29,EOMONTH(U$4,0)&gt;=Timeline!$E29),"C",IF(AND(ISNUMBER(Timeline!$F29),ISNUMBER(Timeline!$K29),U$4&lt;=Timeline!$K29,EOMONTH(U$4,0)&gt;Timeline!$F29),"P",IF(AND(ISNUMBER(Timeline!$H29),ISNUMBER(Timeline!$K29),NOT(ISNUMBER(Timeline!$F29)),U$4&lt;=Timeline!$K29,EOMONTH(U$4,0)&gt;=Timeline!$H29),"P",IF(AND(ISNUMBER(Timeline!$K29),ISNUMBER(Timeline!$O29),U$4&lt;=Timeline!$O29,EOMONTH(U$4,0)&gt;Timeline!$K29),"S",""))))</f>
        <v>P</v>
      </c>
      <c r="V24" s="17" t="str">
        <f aca="false">IF(AND(ISNUMBER(Timeline!$E29),ISNUMBER(Timeline!$F29),V$4&lt;=Timeline!$F29,EOMONTH(V$4,0)&gt;=Timeline!$E29),"C",IF(AND(ISNUMBER(Timeline!$F29),ISNUMBER(Timeline!$K29),V$4&lt;=Timeline!$K29,EOMONTH(V$4,0)&gt;Timeline!$F29),"P",IF(AND(ISNUMBER(Timeline!$H29),ISNUMBER(Timeline!$K29),NOT(ISNUMBER(Timeline!$F29)),V$4&lt;=Timeline!$K29,EOMONTH(V$4,0)&gt;=Timeline!$H29),"P",IF(AND(ISNUMBER(Timeline!$K29),ISNUMBER(Timeline!$O29),V$4&lt;=Timeline!$O29,EOMONTH(V$4,0)&gt;Timeline!$K29),"S",""))))</f>
        <v>P</v>
      </c>
      <c r="W24" s="17" t="str">
        <f aca="false">IF(AND(ISNUMBER(Timeline!$E29),ISNUMBER(Timeline!$F29),W$4&lt;=Timeline!$F29,EOMONTH(W$4,0)&gt;=Timeline!$E29),"C",IF(AND(ISNUMBER(Timeline!$F29),ISNUMBER(Timeline!$K29),W$4&lt;=Timeline!$K29,EOMONTH(W$4,0)&gt;Timeline!$F29),"P",IF(AND(ISNUMBER(Timeline!$H29),ISNUMBER(Timeline!$K29),NOT(ISNUMBER(Timeline!$F29)),W$4&lt;=Timeline!$K29,EOMONTH(W$4,0)&gt;=Timeline!$H29),"P",IF(AND(ISNUMBER(Timeline!$K29),ISNUMBER(Timeline!$O29),W$4&lt;=Timeline!$O29,EOMONTH(W$4,0)&gt;Timeline!$K29),"S",""))))</f>
        <v>P</v>
      </c>
      <c r="X24" s="17" t="str">
        <f aca="false">IF(AND(ISNUMBER(Timeline!$E29),ISNUMBER(Timeline!$F29),X$4&lt;=Timeline!$F29,EOMONTH(X$4,0)&gt;=Timeline!$E29),"C",IF(AND(ISNUMBER(Timeline!$F29),ISNUMBER(Timeline!$K29),X$4&lt;=Timeline!$K29,EOMONTH(X$4,0)&gt;Timeline!$F29),"P",IF(AND(ISNUMBER(Timeline!$H29),ISNUMBER(Timeline!$K29),NOT(ISNUMBER(Timeline!$F29)),X$4&lt;=Timeline!$K29,EOMONTH(X$4,0)&gt;=Timeline!$H29),"P",IF(AND(ISNUMBER(Timeline!$K29),ISNUMBER(Timeline!$O29),X$4&lt;=Timeline!$O29,EOMONTH(X$4,0)&gt;Timeline!$K29),"S",""))))</f>
        <v>P</v>
      </c>
      <c r="Y24" s="17" t="str">
        <f aca="false">IF(AND(ISNUMBER(Timeline!$E29),ISNUMBER(Timeline!$F29),Y$4&lt;=Timeline!$F29,EOMONTH(Y$4,0)&gt;=Timeline!$E29),"C",IF(AND(ISNUMBER(Timeline!$F29),ISNUMBER(Timeline!$K29),Y$4&lt;=Timeline!$K29,EOMONTH(Y$4,0)&gt;Timeline!$F29),"P",IF(AND(ISNUMBER(Timeline!$H29),ISNUMBER(Timeline!$K29),NOT(ISNUMBER(Timeline!$F29)),Y$4&lt;=Timeline!$K29,EOMONTH(Y$4,0)&gt;=Timeline!$H29),"P",IF(AND(ISNUMBER(Timeline!$K29),ISNUMBER(Timeline!$O29),Y$4&lt;=Timeline!$O29,EOMONTH(Y$4,0)&gt;Timeline!$K29),"S",""))))</f>
        <v>P</v>
      </c>
      <c r="Z24" s="17" t="str">
        <f aca="false">IF(AND(ISNUMBER(Timeline!$E29),ISNUMBER(Timeline!$F29),Z$4&lt;=Timeline!$F29,EOMONTH(Z$4,0)&gt;=Timeline!$E29),"C",IF(AND(ISNUMBER(Timeline!$F29),ISNUMBER(Timeline!$K29),Z$4&lt;=Timeline!$K29,EOMONTH(Z$4,0)&gt;Timeline!$F29),"P",IF(AND(ISNUMBER(Timeline!$H29),ISNUMBER(Timeline!$K29),NOT(ISNUMBER(Timeline!$F29)),Z$4&lt;=Timeline!$K29,EOMONTH(Z$4,0)&gt;=Timeline!$H29),"P",IF(AND(ISNUMBER(Timeline!$K29),ISNUMBER(Timeline!$O29),Z$4&lt;=Timeline!$O29,EOMONTH(Z$4,0)&gt;Timeline!$K29),"S",""))))</f>
        <v>P</v>
      </c>
      <c r="AA24" s="17" t="str">
        <f aca="false">IF(AND(ISNUMBER(Timeline!$E29),ISNUMBER(Timeline!$F29),AA$4&lt;=Timeline!$F29,EOMONTH(AA$4,0)&gt;=Timeline!$E29),"C",IF(AND(ISNUMBER(Timeline!$F29),ISNUMBER(Timeline!$K29),AA$4&lt;=Timeline!$K29,EOMONTH(AA$4,0)&gt;Timeline!$F29),"P",IF(AND(ISNUMBER(Timeline!$H29),ISNUMBER(Timeline!$K29),NOT(ISNUMBER(Timeline!$F29)),AA$4&lt;=Timeline!$K29,EOMONTH(AA$4,0)&gt;=Timeline!$H29),"P",IF(AND(ISNUMBER(Timeline!$K29),ISNUMBER(Timeline!$O29),AA$4&lt;=Timeline!$O29,EOMONTH(AA$4,0)&gt;Timeline!$K29),"S",""))))</f>
        <v>P</v>
      </c>
      <c r="AB24" s="17" t="str">
        <f aca="false">IF(AND(ISNUMBER(Timeline!$E29),ISNUMBER(Timeline!$F29),AB$4&lt;=Timeline!$F29,EOMONTH(AB$4,0)&gt;=Timeline!$E29),"C",IF(AND(ISNUMBER(Timeline!$F29),ISNUMBER(Timeline!$K29),AB$4&lt;=Timeline!$K29,EOMONTH(AB$4,0)&gt;Timeline!$F29),"P",IF(AND(ISNUMBER(Timeline!$H29),ISNUMBER(Timeline!$K29),NOT(ISNUMBER(Timeline!$F29)),AB$4&lt;=Timeline!$K29,EOMONTH(AB$4,0)&gt;=Timeline!$H29),"P",IF(AND(ISNUMBER(Timeline!$K29),ISNUMBER(Timeline!$O29),AB$4&lt;=Timeline!$O29,EOMONTH(AB$4,0)&gt;Timeline!$K29),"S",""))))</f>
        <v>P</v>
      </c>
      <c r="AC24" s="17" t="str">
        <f aca="false">IF(AND(ISNUMBER(Timeline!$E29),ISNUMBER(Timeline!$F29),AC$4&lt;=Timeline!$F29,EOMONTH(AC$4,0)&gt;=Timeline!$E29),"C",IF(AND(ISNUMBER(Timeline!$F29),ISNUMBER(Timeline!$K29),AC$4&lt;=Timeline!$K29,EOMONTH(AC$4,0)&gt;Timeline!$F29),"P",IF(AND(ISNUMBER(Timeline!$H29),ISNUMBER(Timeline!$K29),NOT(ISNUMBER(Timeline!$F29)),AC$4&lt;=Timeline!$K29,EOMONTH(AC$4,0)&gt;=Timeline!$H29),"P",IF(AND(ISNUMBER(Timeline!$K29),ISNUMBER(Timeline!$O29),AC$4&lt;=Timeline!$O29,EOMONTH(AC$4,0)&gt;Timeline!$K29),"S",""))))</f>
        <v>P</v>
      </c>
      <c r="AD24" s="17" t="str">
        <f aca="false">IF(AND(ISNUMBER(Timeline!$E29),ISNUMBER(Timeline!$F29),AD$4&lt;=Timeline!$F29,EOMONTH(AD$4,0)&gt;=Timeline!$E29),"C",IF(AND(ISNUMBER(Timeline!$F29),ISNUMBER(Timeline!$K29),AD$4&lt;=Timeline!$K29,EOMONTH(AD$4,0)&gt;Timeline!$F29),"P",IF(AND(ISNUMBER(Timeline!$H29),ISNUMBER(Timeline!$K29),NOT(ISNUMBER(Timeline!$F29)),AD$4&lt;=Timeline!$K29,EOMONTH(AD$4,0)&gt;=Timeline!$H29),"P",IF(AND(ISNUMBER(Timeline!$K29),ISNUMBER(Timeline!$O29),AD$4&lt;=Timeline!$O29,EOMONTH(AD$4,0)&gt;Timeline!$K29),"S",""))))</f>
        <v>S</v>
      </c>
      <c r="AE24" s="17" t="str">
        <f aca="false">IF(AND(ISNUMBER(Timeline!$E29),ISNUMBER(Timeline!$F29),AE$4&lt;=Timeline!$F29,EOMONTH(AE$4,0)&gt;=Timeline!$E29),"C",IF(AND(ISNUMBER(Timeline!$F29),ISNUMBER(Timeline!$K29),AE$4&lt;=Timeline!$K29,EOMONTH(AE$4,0)&gt;Timeline!$F29),"P",IF(AND(ISNUMBER(Timeline!$H29),ISNUMBER(Timeline!$K29),NOT(ISNUMBER(Timeline!$F29)),AE$4&lt;=Timeline!$K29,EOMONTH(AE$4,0)&gt;=Timeline!$H29),"P",IF(AND(ISNUMBER(Timeline!$K29),ISNUMBER(Timeline!$O29),AE$4&lt;=Timeline!$O29,EOMONTH(AE$4,0)&gt;Timeline!$K29),"S",""))))</f>
        <v>S</v>
      </c>
      <c r="AF24" s="17" t="str">
        <f aca="false">IF(AND(ISNUMBER(Timeline!$E29),ISNUMBER(Timeline!$F29),AF$4&lt;=Timeline!$F29,EOMONTH(AF$4,0)&gt;=Timeline!$E29),"C",IF(AND(ISNUMBER(Timeline!$F29),ISNUMBER(Timeline!$K29),AF$4&lt;=Timeline!$K29,EOMONTH(AF$4,0)&gt;Timeline!$F29),"P",IF(AND(ISNUMBER(Timeline!$H29),ISNUMBER(Timeline!$K29),NOT(ISNUMBER(Timeline!$F29)),AF$4&lt;=Timeline!$K29,EOMONTH(AF$4,0)&gt;=Timeline!$H29),"P",IF(AND(ISNUMBER(Timeline!$K29),ISNUMBER(Timeline!$O29),AF$4&lt;=Timeline!$O29,EOMONTH(AF$4,0)&gt;Timeline!$K29),"S",""))))</f>
        <v>S</v>
      </c>
      <c r="AG24" s="17" t="str">
        <f aca="false">IF(AND(ISNUMBER(Timeline!$E29),ISNUMBER(Timeline!$F29),AG$4&lt;=Timeline!$F29,EOMONTH(AG$4,0)&gt;=Timeline!$E29),"C",IF(AND(ISNUMBER(Timeline!$F29),ISNUMBER(Timeline!$K29),AG$4&lt;=Timeline!$K29,EOMONTH(AG$4,0)&gt;Timeline!$F29),"P",IF(AND(ISNUMBER(Timeline!$H29),ISNUMBER(Timeline!$K29),NOT(ISNUMBER(Timeline!$F29)),AG$4&lt;=Timeline!$K29,EOMONTH(AG$4,0)&gt;=Timeline!$H29),"P",IF(AND(ISNUMBER(Timeline!$K29),ISNUMBER(Timeline!$O29),AG$4&lt;=Timeline!$O29,EOMONTH(AG$4,0)&gt;Timeline!$K29),"S",""))))</f>
        <v>S</v>
      </c>
      <c r="AH24" s="17" t="str">
        <f aca="false">IF(AND(ISNUMBER(Timeline!$E29),ISNUMBER(Timeline!$F29),AH$4&lt;=Timeline!$F29,EOMONTH(AH$4,0)&gt;=Timeline!$E29),"C",IF(AND(ISNUMBER(Timeline!$F29),ISNUMBER(Timeline!$K29),AH$4&lt;=Timeline!$K29,EOMONTH(AH$4,0)&gt;Timeline!$F29),"P",IF(AND(ISNUMBER(Timeline!$H29),ISNUMBER(Timeline!$K29),NOT(ISNUMBER(Timeline!$F29)),AH$4&lt;=Timeline!$K29,EOMONTH(AH$4,0)&gt;=Timeline!$H29),"P",IF(AND(ISNUMBER(Timeline!$K29),ISNUMBER(Timeline!$O29),AH$4&lt;=Timeline!$O29,EOMONTH(AH$4,0)&gt;Timeline!$K29),"S",""))))</f>
        <v/>
      </c>
    </row>
    <row r="25" customFormat="false" ht="15" hidden="false" customHeight="false" outlineLevel="0" collapsed="false">
      <c r="A25" s="5" t="n">
        <v>21</v>
      </c>
      <c r="B25" s="16" t="s">
        <v>84</v>
      </c>
      <c r="C25" s="16" t="s">
        <v>55</v>
      </c>
      <c r="D25" s="17" t="str">
        <f aca="false">IF(AND(ISNUMBER(Timeline!$E30),ISNUMBER(Timeline!$F30),D$4&lt;=Timeline!$F30,EOMONTH(D$4,0)&gt;=Timeline!$E30),"C",IF(AND(ISNUMBER(Timeline!$F30),ISNUMBER(Timeline!$K30),D$4&lt;=Timeline!$K30,EOMONTH(D$4,0)&gt;Timeline!$F30),"P",IF(AND(ISNUMBER(Timeline!$H30),ISNUMBER(Timeline!$K30),NOT(ISNUMBER(Timeline!$F30)),D$4&lt;=Timeline!$K30,EOMONTH(D$4,0)&gt;=Timeline!$H30),"P",IF(AND(ISNUMBER(Timeline!$K30),ISNUMBER(Timeline!$O30),D$4&lt;=Timeline!$O30,EOMONTH(D$4,0)&gt;Timeline!$K30),"S",""))))</f>
        <v/>
      </c>
      <c r="E25" s="17" t="str">
        <f aca="false">IF(AND(ISNUMBER(Timeline!$E30),ISNUMBER(Timeline!$F30),E$4&lt;=Timeline!$F30,EOMONTH(E$4,0)&gt;=Timeline!$E30),"C",IF(AND(ISNUMBER(Timeline!$F30),ISNUMBER(Timeline!$K30),E$4&lt;=Timeline!$K30,EOMONTH(E$4,0)&gt;Timeline!$F30),"P",IF(AND(ISNUMBER(Timeline!$H30),ISNUMBER(Timeline!$K30),NOT(ISNUMBER(Timeline!$F30)),E$4&lt;=Timeline!$K30,EOMONTH(E$4,0)&gt;=Timeline!$H30),"P",IF(AND(ISNUMBER(Timeline!$K30),ISNUMBER(Timeline!$O30),E$4&lt;=Timeline!$O30,EOMONTH(E$4,0)&gt;Timeline!$K30),"S",""))))</f>
        <v/>
      </c>
      <c r="F25" s="17" t="str">
        <f aca="false">IF(AND(ISNUMBER(Timeline!$E30),ISNUMBER(Timeline!$F30),F$4&lt;=Timeline!$F30,EOMONTH(F$4,0)&gt;=Timeline!$E30),"C",IF(AND(ISNUMBER(Timeline!$F30),ISNUMBER(Timeline!$K30),F$4&lt;=Timeline!$K30,EOMONTH(F$4,0)&gt;Timeline!$F30),"P",IF(AND(ISNUMBER(Timeline!$H30),ISNUMBER(Timeline!$K30),NOT(ISNUMBER(Timeline!$F30)),F$4&lt;=Timeline!$K30,EOMONTH(F$4,0)&gt;=Timeline!$H30),"P",IF(AND(ISNUMBER(Timeline!$K30),ISNUMBER(Timeline!$O30),F$4&lt;=Timeline!$O30,EOMONTH(F$4,0)&gt;Timeline!$K30),"S",""))))</f>
        <v/>
      </c>
      <c r="G25" s="17" t="str">
        <f aca="false">IF(AND(ISNUMBER(Timeline!$E30),ISNUMBER(Timeline!$F30),G$4&lt;=Timeline!$F30,EOMONTH(G$4,0)&gt;=Timeline!$E30),"C",IF(AND(ISNUMBER(Timeline!$F30),ISNUMBER(Timeline!$K30),G$4&lt;=Timeline!$K30,EOMONTH(G$4,0)&gt;Timeline!$F30),"P",IF(AND(ISNUMBER(Timeline!$H30),ISNUMBER(Timeline!$K30),NOT(ISNUMBER(Timeline!$F30)),G$4&lt;=Timeline!$K30,EOMONTH(G$4,0)&gt;=Timeline!$H30),"P",IF(AND(ISNUMBER(Timeline!$K30),ISNUMBER(Timeline!$O30),G$4&lt;=Timeline!$O30,EOMONTH(G$4,0)&gt;Timeline!$K30),"S",""))))</f>
        <v/>
      </c>
      <c r="H25" s="17" t="str">
        <f aca="false">IF(AND(ISNUMBER(Timeline!$E30),ISNUMBER(Timeline!$F30),H$4&lt;=Timeline!$F30,EOMONTH(H$4,0)&gt;=Timeline!$E30),"C",IF(AND(ISNUMBER(Timeline!$F30),ISNUMBER(Timeline!$K30),H$4&lt;=Timeline!$K30,EOMONTH(H$4,0)&gt;Timeline!$F30),"P",IF(AND(ISNUMBER(Timeline!$H30),ISNUMBER(Timeline!$K30),NOT(ISNUMBER(Timeline!$F30)),H$4&lt;=Timeline!$K30,EOMONTH(H$4,0)&gt;=Timeline!$H30),"P",IF(AND(ISNUMBER(Timeline!$K30),ISNUMBER(Timeline!$O30),H$4&lt;=Timeline!$O30,EOMONTH(H$4,0)&gt;Timeline!$K30),"S",""))))</f>
        <v/>
      </c>
      <c r="I25" s="17" t="str">
        <f aca="false">IF(AND(ISNUMBER(Timeline!$E30),ISNUMBER(Timeline!$F30),I$4&lt;=Timeline!$F30,EOMONTH(I$4,0)&gt;=Timeline!$E30),"C",IF(AND(ISNUMBER(Timeline!$F30),ISNUMBER(Timeline!$K30),I$4&lt;=Timeline!$K30,EOMONTH(I$4,0)&gt;Timeline!$F30),"P",IF(AND(ISNUMBER(Timeline!$H30),ISNUMBER(Timeline!$K30),NOT(ISNUMBER(Timeline!$F30)),I$4&lt;=Timeline!$K30,EOMONTH(I$4,0)&gt;=Timeline!$H30),"P",IF(AND(ISNUMBER(Timeline!$K30),ISNUMBER(Timeline!$O30),I$4&lt;=Timeline!$O30,EOMONTH(I$4,0)&gt;Timeline!$K30),"S",""))))</f>
        <v/>
      </c>
      <c r="J25" s="17" t="str">
        <f aca="false">IF(AND(ISNUMBER(Timeline!$E30),ISNUMBER(Timeline!$F30),J$4&lt;=Timeline!$F30,EOMONTH(J$4,0)&gt;=Timeline!$E30),"C",IF(AND(ISNUMBER(Timeline!$F30),ISNUMBER(Timeline!$K30),J$4&lt;=Timeline!$K30,EOMONTH(J$4,0)&gt;Timeline!$F30),"P",IF(AND(ISNUMBER(Timeline!$H30),ISNUMBER(Timeline!$K30),NOT(ISNUMBER(Timeline!$F30)),J$4&lt;=Timeline!$K30,EOMONTH(J$4,0)&gt;=Timeline!$H30),"P",IF(AND(ISNUMBER(Timeline!$K30),ISNUMBER(Timeline!$O30),J$4&lt;=Timeline!$O30,EOMONTH(J$4,0)&gt;Timeline!$K30),"S",""))))</f>
        <v/>
      </c>
      <c r="K25" s="17" t="str">
        <f aca="false">IF(AND(ISNUMBER(Timeline!$E30),ISNUMBER(Timeline!$F30),K$4&lt;=Timeline!$F30,EOMONTH(K$4,0)&gt;=Timeline!$E30),"C",IF(AND(ISNUMBER(Timeline!$F30),ISNUMBER(Timeline!$K30),K$4&lt;=Timeline!$K30,EOMONTH(K$4,0)&gt;Timeline!$F30),"P",IF(AND(ISNUMBER(Timeline!$H30),ISNUMBER(Timeline!$K30),NOT(ISNUMBER(Timeline!$F30)),K$4&lt;=Timeline!$K30,EOMONTH(K$4,0)&gt;=Timeline!$H30),"P",IF(AND(ISNUMBER(Timeline!$K30),ISNUMBER(Timeline!$O30),K$4&lt;=Timeline!$O30,EOMONTH(K$4,0)&gt;Timeline!$K30),"S",""))))</f>
        <v/>
      </c>
      <c r="L25" s="17" t="str">
        <f aca="false">IF(AND(ISNUMBER(Timeline!$E30),ISNUMBER(Timeline!$F30),L$4&lt;=Timeline!$F30,EOMONTH(L$4,0)&gt;=Timeline!$E30),"C",IF(AND(ISNUMBER(Timeline!$F30),ISNUMBER(Timeline!$K30),L$4&lt;=Timeline!$K30,EOMONTH(L$4,0)&gt;Timeline!$F30),"P",IF(AND(ISNUMBER(Timeline!$H30),ISNUMBER(Timeline!$K30),NOT(ISNUMBER(Timeline!$F30)),L$4&lt;=Timeline!$K30,EOMONTH(L$4,0)&gt;=Timeline!$H30),"P",IF(AND(ISNUMBER(Timeline!$K30),ISNUMBER(Timeline!$O30),L$4&lt;=Timeline!$O30,EOMONTH(L$4,0)&gt;Timeline!$K30),"S",""))))</f>
        <v/>
      </c>
      <c r="M25" s="17" t="str">
        <f aca="false">IF(AND(ISNUMBER(Timeline!$E30),ISNUMBER(Timeline!$F30),M$4&lt;=Timeline!$F30,EOMONTH(M$4,0)&gt;=Timeline!$E30),"C",IF(AND(ISNUMBER(Timeline!$F30),ISNUMBER(Timeline!$K30),M$4&lt;=Timeline!$K30,EOMONTH(M$4,0)&gt;Timeline!$F30),"P",IF(AND(ISNUMBER(Timeline!$H30),ISNUMBER(Timeline!$K30),NOT(ISNUMBER(Timeline!$F30)),M$4&lt;=Timeline!$K30,EOMONTH(M$4,0)&gt;=Timeline!$H30),"P",IF(AND(ISNUMBER(Timeline!$K30),ISNUMBER(Timeline!$O30),M$4&lt;=Timeline!$O30,EOMONTH(M$4,0)&gt;Timeline!$K30),"S",""))))</f>
        <v/>
      </c>
      <c r="N25" s="17" t="str">
        <f aca="false">IF(AND(ISNUMBER(Timeline!$E30),ISNUMBER(Timeline!$F30),N$4&lt;=Timeline!$F30,EOMONTH(N$4,0)&gt;=Timeline!$E30),"C",IF(AND(ISNUMBER(Timeline!$F30),ISNUMBER(Timeline!$K30),N$4&lt;=Timeline!$K30,EOMONTH(N$4,0)&gt;Timeline!$F30),"P",IF(AND(ISNUMBER(Timeline!$H30),ISNUMBER(Timeline!$K30),NOT(ISNUMBER(Timeline!$F30)),N$4&lt;=Timeline!$K30,EOMONTH(N$4,0)&gt;=Timeline!$H30),"P",IF(AND(ISNUMBER(Timeline!$K30),ISNUMBER(Timeline!$O30),N$4&lt;=Timeline!$O30,EOMONTH(N$4,0)&gt;Timeline!$K30),"S",""))))</f>
        <v/>
      </c>
      <c r="O25" s="17" t="str">
        <f aca="false">IF(AND(ISNUMBER(Timeline!$E30),ISNUMBER(Timeline!$F30),O$4&lt;=Timeline!$F30,EOMONTH(O$4,0)&gt;=Timeline!$E30),"C",IF(AND(ISNUMBER(Timeline!$F30),ISNUMBER(Timeline!$K30),O$4&lt;=Timeline!$K30,EOMONTH(O$4,0)&gt;Timeline!$F30),"P",IF(AND(ISNUMBER(Timeline!$H30),ISNUMBER(Timeline!$K30),NOT(ISNUMBER(Timeline!$F30)),O$4&lt;=Timeline!$K30,EOMONTH(O$4,0)&gt;=Timeline!$H30),"P",IF(AND(ISNUMBER(Timeline!$K30),ISNUMBER(Timeline!$O30),O$4&lt;=Timeline!$O30,EOMONTH(O$4,0)&gt;Timeline!$K30),"S",""))))</f>
        <v/>
      </c>
      <c r="P25" s="17" t="str">
        <f aca="false">IF(AND(ISNUMBER(Timeline!$E30),ISNUMBER(Timeline!$F30),P$4&lt;=Timeline!$F30,EOMONTH(P$4,0)&gt;=Timeline!$E30),"C",IF(AND(ISNUMBER(Timeline!$F30),ISNUMBER(Timeline!$K30),P$4&lt;=Timeline!$K30,EOMONTH(P$4,0)&gt;Timeline!$F30),"P",IF(AND(ISNUMBER(Timeline!$H30),ISNUMBER(Timeline!$K30),NOT(ISNUMBER(Timeline!$F30)),P$4&lt;=Timeline!$K30,EOMONTH(P$4,0)&gt;=Timeline!$H30),"P",IF(AND(ISNUMBER(Timeline!$K30),ISNUMBER(Timeline!$O30),P$4&lt;=Timeline!$O30,EOMONTH(P$4,0)&gt;Timeline!$K30),"S",""))))</f>
        <v/>
      </c>
      <c r="Q25" s="17" t="str">
        <f aca="false">IF(AND(ISNUMBER(Timeline!$E30),ISNUMBER(Timeline!$F30),Q$4&lt;=Timeline!$F30,EOMONTH(Q$4,0)&gt;=Timeline!$E30),"C",IF(AND(ISNUMBER(Timeline!$F30),ISNUMBER(Timeline!$K30),Q$4&lt;=Timeline!$K30,EOMONTH(Q$4,0)&gt;Timeline!$F30),"P",IF(AND(ISNUMBER(Timeline!$H30),ISNUMBER(Timeline!$K30),NOT(ISNUMBER(Timeline!$F30)),Q$4&lt;=Timeline!$K30,EOMONTH(Q$4,0)&gt;=Timeline!$H30),"P",IF(AND(ISNUMBER(Timeline!$K30),ISNUMBER(Timeline!$O30),Q$4&lt;=Timeline!$O30,EOMONTH(Q$4,0)&gt;Timeline!$K30),"S",""))))</f>
        <v/>
      </c>
      <c r="R25" s="17" t="str">
        <f aca="false">IF(AND(ISNUMBER(Timeline!$E30),ISNUMBER(Timeline!$F30),R$4&lt;=Timeline!$F30,EOMONTH(R$4,0)&gt;=Timeline!$E30),"C",IF(AND(ISNUMBER(Timeline!$F30),ISNUMBER(Timeline!$K30),R$4&lt;=Timeline!$K30,EOMONTH(R$4,0)&gt;Timeline!$F30),"P",IF(AND(ISNUMBER(Timeline!$H30),ISNUMBER(Timeline!$K30),NOT(ISNUMBER(Timeline!$F30)),R$4&lt;=Timeline!$K30,EOMONTH(R$4,0)&gt;=Timeline!$H30),"P",IF(AND(ISNUMBER(Timeline!$K30),ISNUMBER(Timeline!$O30),R$4&lt;=Timeline!$O30,EOMONTH(R$4,0)&gt;Timeline!$K30),"S",""))))</f>
        <v/>
      </c>
      <c r="S25" s="17" t="str">
        <f aca="false">IF(AND(ISNUMBER(Timeline!$E30),ISNUMBER(Timeline!$F30),S$4&lt;=Timeline!$F30,EOMONTH(S$4,0)&gt;=Timeline!$E30),"C",IF(AND(ISNUMBER(Timeline!$F30),ISNUMBER(Timeline!$K30),S$4&lt;=Timeline!$K30,EOMONTH(S$4,0)&gt;Timeline!$F30),"P",IF(AND(ISNUMBER(Timeline!$H30),ISNUMBER(Timeline!$K30),NOT(ISNUMBER(Timeline!$F30)),S$4&lt;=Timeline!$K30,EOMONTH(S$4,0)&gt;=Timeline!$H30),"P",IF(AND(ISNUMBER(Timeline!$K30),ISNUMBER(Timeline!$O30),S$4&lt;=Timeline!$O30,EOMONTH(S$4,0)&gt;Timeline!$K30),"S",""))))</f>
        <v/>
      </c>
      <c r="T25" s="17" t="str">
        <f aca="false">IF(AND(ISNUMBER(Timeline!$E30),ISNUMBER(Timeline!$F30),T$4&lt;=Timeline!$F30,EOMONTH(T$4,0)&gt;=Timeline!$E30),"C",IF(AND(ISNUMBER(Timeline!$F30),ISNUMBER(Timeline!$K30),T$4&lt;=Timeline!$K30,EOMONTH(T$4,0)&gt;Timeline!$F30),"P",IF(AND(ISNUMBER(Timeline!$H30),ISNUMBER(Timeline!$K30),NOT(ISNUMBER(Timeline!$F30)),T$4&lt;=Timeline!$K30,EOMONTH(T$4,0)&gt;=Timeline!$H30),"P",IF(AND(ISNUMBER(Timeline!$K30),ISNUMBER(Timeline!$O30),T$4&lt;=Timeline!$O30,EOMONTH(T$4,0)&gt;Timeline!$K30),"S",""))))</f>
        <v/>
      </c>
      <c r="U25" s="17" t="str">
        <f aca="false">IF(AND(ISNUMBER(Timeline!$E30),ISNUMBER(Timeline!$F30),U$4&lt;=Timeline!$F30,EOMONTH(U$4,0)&gt;=Timeline!$E30),"C",IF(AND(ISNUMBER(Timeline!$F30),ISNUMBER(Timeline!$K30),U$4&lt;=Timeline!$K30,EOMONTH(U$4,0)&gt;Timeline!$F30),"P",IF(AND(ISNUMBER(Timeline!$H30),ISNUMBER(Timeline!$K30),NOT(ISNUMBER(Timeline!$F30)),U$4&lt;=Timeline!$K30,EOMONTH(U$4,0)&gt;=Timeline!$H30),"P",IF(AND(ISNUMBER(Timeline!$K30),ISNUMBER(Timeline!$O30),U$4&lt;=Timeline!$O30,EOMONTH(U$4,0)&gt;Timeline!$K30),"S",""))))</f>
        <v/>
      </c>
      <c r="V25" s="17" t="str">
        <f aca="false">IF(AND(ISNUMBER(Timeline!$E30),ISNUMBER(Timeline!$F30),V$4&lt;=Timeline!$F30,EOMONTH(V$4,0)&gt;=Timeline!$E30),"C",IF(AND(ISNUMBER(Timeline!$F30),ISNUMBER(Timeline!$K30),V$4&lt;=Timeline!$K30,EOMONTH(V$4,0)&gt;Timeline!$F30),"P",IF(AND(ISNUMBER(Timeline!$H30),ISNUMBER(Timeline!$K30),NOT(ISNUMBER(Timeline!$F30)),V$4&lt;=Timeline!$K30,EOMONTH(V$4,0)&gt;=Timeline!$H30),"P",IF(AND(ISNUMBER(Timeline!$K30),ISNUMBER(Timeline!$O30),V$4&lt;=Timeline!$O30,EOMONTH(V$4,0)&gt;Timeline!$K30),"S",""))))</f>
        <v>P</v>
      </c>
      <c r="W25" s="17" t="str">
        <f aca="false">IF(AND(ISNUMBER(Timeline!$E30),ISNUMBER(Timeline!$F30),W$4&lt;=Timeline!$F30,EOMONTH(W$4,0)&gt;=Timeline!$E30),"C",IF(AND(ISNUMBER(Timeline!$F30),ISNUMBER(Timeline!$K30),W$4&lt;=Timeline!$K30,EOMONTH(W$4,0)&gt;Timeline!$F30),"P",IF(AND(ISNUMBER(Timeline!$H30),ISNUMBER(Timeline!$K30),NOT(ISNUMBER(Timeline!$F30)),W$4&lt;=Timeline!$K30,EOMONTH(W$4,0)&gt;=Timeline!$H30),"P",IF(AND(ISNUMBER(Timeline!$K30),ISNUMBER(Timeline!$O30),W$4&lt;=Timeline!$O30,EOMONTH(W$4,0)&gt;Timeline!$K30),"S",""))))</f>
        <v>P</v>
      </c>
      <c r="X25" s="17" t="str">
        <f aca="false">IF(AND(ISNUMBER(Timeline!$E30),ISNUMBER(Timeline!$F30),X$4&lt;=Timeline!$F30,EOMONTH(X$4,0)&gt;=Timeline!$E30),"C",IF(AND(ISNUMBER(Timeline!$F30),ISNUMBER(Timeline!$K30),X$4&lt;=Timeline!$K30,EOMONTH(X$4,0)&gt;Timeline!$F30),"P",IF(AND(ISNUMBER(Timeline!$H30),ISNUMBER(Timeline!$K30),NOT(ISNUMBER(Timeline!$F30)),X$4&lt;=Timeline!$K30,EOMONTH(X$4,0)&gt;=Timeline!$H30),"P",IF(AND(ISNUMBER(Timeline!$K30),ISNUMBER(Timeline!$O30),X$4&lt;=Timeline!$O30,EOMONTH(X$4,0)&gt;Timeline!$K30),"S",""))))</f>
        <v>P</v>
      </c>
      <c r="Y25" s="17" t="str">
        <f aca="false">IF(AND(ISNUMBER(Timeline!$E30),ISNUMBER(Timeline!$F30),Y$4&lt;=Timeline!$F30,EOMONTH(Y$4,0)&gt;=Timeline!$E30),"C",IF(AND(ISNUMBER(Timeline!$F30),ISNUMBER(Timeline!$K30),Y$4&lt;=Timeline!$K30,EOMONTH(Y$4,0)&gt;Timeline!$F30),"P",IF(AND(ISNUMBER(Timeline!$H30),ISNUMBER(Timeline!$K30),NOT(ISNUMBER(Timeline!$F30)),Y$4&lt;=Timeline!$K30,EOMONTH(Y$4,0)&gt;=Timeline!$H30),"P",IF(AND(ISNUMBER(Timeline!$K30),ISNUMBER(Timeline!$O30),Y$4&lt;=Timeline!$O30,EOMONTH(Y$4,0)&gt;Timeline!$K30),"S",""))))</f>
        <v>P</v>
      </c>
      <c r="Z25" s="17" t="str">
        <f aca="false">IF(AND(ISNUMBER(Timeline!$E30),ISNUMBER(Timeline!$F30),Z$4&lt;=Timeline!$F30,EOMONTH(Z$4,0)&gt;=Timeline!$E30),"C",IF(AND(ISNUMBER(Timeline!$F30),ISNUMBER(Timeline!$K30),Z$4&lt;=Timeline!$K30,EOMONTH(Z$4,0)&gt;Timeline!$F30),"P",IF(AND(ISNUMBER(Timeline!$H30),ISNUMBER(Timeline!$K30),NOT(ISNUMBER(Timeline!$F30)),Z$4&lt;=Timeline!$K30,EOMONTH(Z$4,0)&gt;=Timeline!$H30),"P",IF(AND(ISNUMBER(Timeline!$K30),ISNUMBER(Timeline!$O30),Z$4&lt;=Timeline!$O30,EOMONTH(Z$4,0)&gt;Timeline!$K30),"S",""))))</f>
        <v>S</v>
      </c>
      <c r="AA25" s="17" t="str">
        <f aca="false">IF(AND(ISNUMBER(Timeline!$E30),ISNUMBER(Timeline!$F30),AA$4&lt;=Timeline!$F30,EOMONTH(AA$4,0)&gt;=Timeline!$E30),"C",IF(AND(ISNUMBER(Timeline!$F30),ISNUMBER(Timeline!$K30),AA$4&lt;=Timeline!$K30,EOMONTH(AA$4,0)&gt;Timeline!$F30),"P",IF(AND(ISNUMBER(Timeline!$H30),ISNUMBER(Timeline!$K30),NOT(ISNUMBER(Timeline!$F30)),AA$4&lt;=Timeline!$K30,EOMONTH(AA$4,0)&gt;=Timeline!$H30),"P",IF(AND(ISNUMBER(Timeline!$K30),ISNUMBER(Timeline!$O30),AA$4&lt;=Timeline!$O30,EOMONTH(AA$4,0)&gt;Timeline!$K30),"S",""))))</f>
        <v>S</v>
      </c>
      <c r="AB25" s="17" t="str">
        <f aca="false">IF(AND(ISNUMBER(Timeline!$E30),ISNUMBER(Timeline!$F30),AB$4&lt;=Timeline!$F30,EOMONTH(AB$4,0)&gt;=Timeline!$E30),"C",IF(AND(ISNUMBER(Timeline!$F30),ISNUMBER(Timeline!$K30),AB$4&lt;=Timeline!$K30,EOMONTH(AB$4,0)&gt;Timeline!$F30),"P",IF(AND(ISNUMBER(Timeline!$H30),ISNUMBER(Timeline!$K30),NOT(ISNUMBER(Timeline!$F30)),AB$4&lt;=Timeline!$K30,EOMONTH(AB$4,0)&gt;=Timeline!$H30),"P",IF(AND(ISNUMBER(Timeline!$K30),ISNUMBER(Timeline!$O30),AB$4&lt;=Timeline!$O30,EOMONTH(AB$4,0)&gt;Timeline!$K30),"S",""))))</f>
        <v>S</v>
      </c>
      <c r="AC25" s="17" t="str">
        <f aca="false">IF(AND(ISNUMBER(Timeline!$E30),ISNUMBER(Timeline!$F30),AC$4&lt;=Timeline!$F30,EOMONTH(AC$4,0)&gt;=Timeline!$E30),"C",IF(AND(ISNUMBER(Timeline!$F30),ISNUMBER(Timeline!$K30),AC$4&lt;=Timeline!$K30,EOMONTH(AC$4,0)&gt;Timeline!$F30),"P",IF(AND(ISNUMBER(Timeline!$H30),ISNUMBER(Timeline!$K30),NOT(ISNUMBER(Timeline!$F30)),AC$4&lt;=Timeline!$K30,EOMONTH(AC$4,0)&gt;=Timeline!$H30),"P",IF(AND(ISNUMBER(Timeline!$K30),ISNUMBER(Timeline!$O30),AC$4&lt;=Timeline!$O30,EOMONTH(AC$4,0)&gt;Timeline!$K30),"S",""))))</f>
        <v/>
      </c>
      <c r="AD25" s="17" t="str">
        <f aca="false">IF(AND(ISNUMBER(Timeline!$E30),ISNUMBER(Timeline!$F30),AD$4&lt;=Timeline!$F30,EOMONTH(AD$4,0)&gt;=Timeline!$E30),"C",IF(AND(ISNUMBER(Timeline!$F30),ISNUMBER(Timeline!$K30),AD$4&lt;=Timeline!$K30,EOMONTH(AD$4,0)&gt;Timeline!$F30),"P",IF(AND(ISNUMBER(Timeline!$H30),ISNUMBER(Timeline!$K30),NOT(ISNUMBER(Timeline!$F30)),AD$4&lt;=Timeline!$K30,EOMONTH(AD$4,0)&gt;=Timeline!$H30),"P",IF(AND(ISNUMBER(Timeline!$K30),ISNUMBER(Timeline!$O30),AD$4&lt;=Timeline!$O30,EOMONTH(AD$4,0)&gt;Timeline!$K30),"S",""))))</f>
        <v/>
      </c>
      <c r="AE25" s="17" t="str">
        <f aca="false">IF(AND(ISNUMBER(Timeline!$E30),ISNUMBER(Timeline!$F30),AE$4&lt;=Timeline!$F30,EOMONTH(AE$4,0)&gt;=Timeline!$E30),"C",IF(AND(ISNUMBER(Timeline!$F30),ISNUMBER(Timeline!$K30),AE$4&lt;=Timeline!$K30,EOMONTH(AE$4,0)&gt;Timeline!$F30),"P",IF(AND(ISNUMBER(Timeline!$H30),ISNUMBER(Timeline!$K30),NOT(ISNUMBER(Timeline!$F30)),AE$4&lt;=Timeline!$K30,EOMONTH(AE$4,0)&gt;=Timeline!$H30),"P",IF(AND(ISNUMBER(Timeline!$K30),ISNUMBER(Timeline!$O30),AE$4&lt;=Timeline!$O30,EOMONTH(AE$4,0)&gt;Timeline!$K30),"S",""))))</f>
        <v/>
      </c>
      <c r="AF25" s="17" t="str">
        <f aca="false">IF(AND(ISNUMBER(Timeline!$E30),ISNUMBER(Timeline!$F30),AF$4&lt;=Timeline!$F30,EOMONTH(AF$4,0)&gt;=Timeline!$E30),"C",IF(AND(ISNUMBER(Timeline!$F30),ISNUMBER(Timeline!$K30),AF$4&lt;=Timeline!$K30,EOMONTH(AF$4,0)&gt;Timeline!$F30),"P",IF(AND(ISNUMBER(Timeline!$H30),ISNUMBER(Timeline!$K30),NOT(ISNUMBER(Timeline!$F30)),AF$4&lt;=Timeline!$K30,EOMONTH(AF$4,0)&gt;=Timeline!$H30),"P",IF(AND(ISNUMBER(Timeline!$K30),ISNUMBER(Timeline!$O30),AF$4&lt;=Timeline!$O30,EOMONTH(AF$4,0)&gt;Timeline!$K30),"S",""))))</f>
        <v/>
      </c>
      <c r="AG25" s="17" t="str">
        <f aca="false">IF(AND(ISNUMBER(Timeline!$E30),ISNUMBER(Timeline!$F30),AG$4&lt;=Timeline!$F30,EOMONTH(AG$4,0)&gt;=Timeline!$E30),"C",IF(AND(ISNUMBER(Timeline!$F30),ISNUMBER(Timeline!$K30),AG$4&lt;=Timeline!$K30,EOMONTH(AG$4,0)&gt;Timeline!$F30),"P",IF(AND(ISNUMBER(Timeline!$H30),ISNUMBER(Timeline!$K30),NOT(ISNUMBER(Timeline!$F30)),AG$4&lt;=Timeline!$K30,EOMONTH(AG$4,0)&gt;=Timeline!$H30),"P",IF(AND(ISNUMBER(Timeline!$K30),ISNUMBER(Timeline!$O30),AG$4&lt;=Timeline!$O30,EOMONTH(AG$4,0)&gt;Timeline!$K30),"S",""))))</f>
        <v/>
      </c>
      <c r="AH25" s="17" t="str">
        <f aca="false">IF(AND(ISNUMBER(Timeline!$E30),ISNUMBER(Timeline!$F30),AH$4&lt;=Timeline!$F30,EOMONTH(AH$4,0)&gt;=Timeline!$E30),"C",IF(AND(ISNUMBER(Timeline!$F30),ISNUMBER(Timeline!$K30),AH$4&lt;=Timeline!$K30,EOMONTH(AH$4,0)&gt;Timeline!$F30),"P",IF(AND(ISNUMBER(Timeline!$H30),ISNUMBER(Timeline!$K30),NOT(ISNUMBER(Timeline!$F30)),AH$4&lt;=Timeline!$K30,EOMONTH(AH$4,0)&gt;=Timeline!$H30),"P",IF(AND(ISNUMBER(Timeline!$K30),ISNUMBER(Timeline!$O30),AH$4&lt;=Timeline!$O30,EOMONTH(AH$4,0)&gt;Timeline!$K30),"S",""))))</f>
        <v/>
      </c>
    </row>
  </sheetData>
  <conditionalFormatting sqref="D5:AH25">
    <cfRule type="cellIs" priority="2" operator="equal" aboveAverage="0" equalAverage="0" bottom="0" percent="0" rank="0" text="" dxfId="1">
      <formula>"C"</formula>
    </cfRule>
    <cfRule type="cellIs" priority="3" operator="equal" aboveAverage="0" equalAverage="0" bottom="0" percent="0" rank="0" text="" dxfId="2">
      <formula>"P"</formula>
    </cfRule>
    <cfRule type="cellIs" priority="4" operator="equal" aboveAverage="0" equalAverage="0" bottom="0" percent="0" rank="0" text="" dxfId="3">
      <formula>"S"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8" t="s">
        <v>89</v>
      </c>
    </row>
    <row r="3" customFormat="false" ht="15" hidden="false" customHeight="false" outlineLevel="0" collapsed="false">
      <c r="A3" s="19" t="s">
        <v>90</v>
      </c>
      <c r="B3" s="19" t="s">
        <v>91</v>
      </c>
      <c r="C3" s="19" t="s">
        <v>92</v>
      </c>
      <c r="D3" s="19" t="s">
        <v>93</v>
      </c>
    </row>
    <row r="4" customFormat="false" ht="20.85" hidden="false" customHeight="false" outlineLevel="0" collapsed="false">
      <c r="A4" s="20" t="n">
        <v>46218</v>
      </c>
      <c r="B4" s="21" t="s">
        <v>94</v>
      </c>
      <c r="C4" s="21" t="s">
        <v>95</v>
      </c>
      <c r="D4" s="21" t="s">
        <v>96</v>
      </c>
    </row>
    <row r="5" customFormat="false" ht="20.85" hidden="false" customHeight="false" outlineLevel="0" collapsed="false">
      <c r="A5" s="20" t="n">
        <v>46268</v>
      </c>
      <c r="B5" s="21" t="s">
        <v>97</v>
      </c>
      <c r="C5" s="21" t="s">
        <v>95</v>
      </c>
      <c r="D5" s="21" t="s">
        <v>98</v>
      </c>
    </row>
    <row r="6" customFormat="false" ht="20.85" hidden="false" customHeight="false" outlineLevel="0" collapsed="false">
      <c r="A6" s="20" t="n">
        <v>46285</v>
      </c>
      <c r="B6" s="21" t="s">
        <v>99</v>
      </c>
      <c r="C6" s="21" t="s">
        <v>95</v>
      </c>
      <c r="D6" s="21" t="s">
        <v>100</v>
      </c>
    </row>
    <row r="7" customFormat="false" ht="20.85" hidden="false" customHeight="false" outlineLevel="0" collapsed="false">
      <c r="A7" s="20" t="n">
        <v>46295</v>
      </c>
      <c r="B7" s="21" t="s">
        <v>101</v>
      </c>
      <c r="C7" s="21" t="s">
        <v>102</v>
      </c>
      <c r="D7" s="21" t="s">
        <v>103</v>
      </c>
    </row>
    <row r="8" customFormat="false" ht="15" hidden="false" customHeight="false" outlineLevel="0" collapsed="false">
      <c r="A8" s="20" t="n">
        <v>46301</v>
      </c>
      <c r="B8" s="21" t="s">
        <v>104</v>
      </c>
      <c r="C8" s="21" t="s">
        <v>95</v>
      </c>
      <c r="D8" s="21" t="s">
        <v>105</v>
      </c>
    </row>
    <row r="9" customFormat="false" ht="20.85" hidden="false" customHeight="false" outlineLevel="0" collapsed="false">
      <c r="A9" s="20" t="n">
        <v>46326</v>
      </c>
      <c r="B9" s="21" t="s">
        <v>106</v>
      </c>
      <c r="C9" s="21" t="s">
        <v>107</v>
      </c>
      <c r="D9" s="21" t="s">
        <v>108</v>
      </c>
    </row>
    <row r="10" customFormat="false" ht="20.85" hidden="false" customHeight="false" outlineLevel="0" collapsed="false">
      <c r="A10" s="20" t="n">
        <v>46387</v>
      </c>
      <c r="B10" s="21" t="s">
        <v>109</v>
      </c>
      <c r="C10" s="21" t="s">
        <v>110</v>
      </c>
      <c r="D10" s="21" t="s">
        <v>111</v>
      </c>
    </row>
    <row r="11" customFormat="false" ht="20.85" hidden="false" customHeight="false" outlineLevel="0" collapsed="false">
      <c r="A11" s="20" t="n">
        <v>46418</v>
      </c>
      <c r="B11" s="21" t="s">
        <v>112</v>
      </c>
      <c r="C11" s="21" t="s">
        <v>113</v>
      </c>
      <c r="D11" s="21" t="s">
        <v>114</v>
      </c>
    </row>
    <row r="12" customFormat="false" ht="20.85" hidden="false" customHeight="false" outlineLevel="0" collapsed="false">
      <c r="A12" s="20" t="n">
        <v>46487</v>
      </c>
      <c r="B12" s="21" t="s">
        <v>115</v>
      </c>
      <c r="C12" s="21" t="s">
        <v>116</v>
      </c>
      <c r="D12" s="21" t="s">
        <v>117</v>
      </c>
    </row>
    <row r="13" customFormat="false" ht="20.85" hidden="false" customHeight="false" outlineLevel="0" collapsed="false">
      <c r="A13" s="20" t="n">
        <v>46578</v>
      </c>
      <c r="B13" s="21" t="s">
        <v>118</v>
      </c>
      <c r="C13" s="21" t="s">
        <v>29</v>
      </c>
      <c r="D13" s="21" t="s">
        <v>119</v>
      </c>
    </row>
    <row r="14" customFormat="false" ht="20.85" hidden="false" customHeight="false" outlineLevel="0" collapsed="false">
      <c r="A14" s="20" t="n">
        <v>46752</v>
      </c>
      <c r="B14" s="21" t="s">
        <v>120</v>
      </c>
      <c r="C14" s="21" t="s">
        <v>110</v>
      </c>
      <c r="D14" s="21" t="s">
        <v>121</v>
      </c>
    </row>
    <row r="15" customFormat="false" ht="20.85" hidden="false" customHeight="false" outlineLevel="0" collapsed="false">
      <c r="A15" s="20" t="n">
        <v>46753</v>
      </c>
      <c r="B15" s="21" t="s">
        <v>122</v>
      </c>
      <c r="C15" s="21" t="s">
        <v>110</v>
      </c>
      <c r="D15" s="2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18" t="s">
        <v>124</v>
      </c>
    </row>
    <row r="2" customFormat="false" ht="15" hidden="false" customHeight="false" outlineLevel="0" collapsed="false">
      <c r="A2" s="22" t="s">
        <v>125</v>
      </c>
    </row>
    <row r="4" customFormat="false" ht="15" hidden="false" customHeight="false" outlineLevel="0" collapsed="false">
      <c r="A4" s="4" t="s">
        <v>126</v>
      </c>
    </row>
    <row r="5" customFormat="false" ht="15" hidden="false" customHeight="false" outlineLevel="0" collapsed="false">
      <c r="A5" s="23" t="s">
        <v>127</v>
      </c>
      <c r="B5" s="23" t="s">
        <v>128</v>
      </c>
      <c r="C5" s="23" t="s">
        <v>129</v>
      </c>
      <c r="D5" s="23" t="s">
        <v>130</v>
      </c>
    </row>
    <row r="6" customFormat="false" ht="15" hidden="false" customHeight="false" outlineLevel="0" collapsed="false">
      <c r="A6" s="24" t="s">
        <v>131</v>
      </c>
      <c r="B6" s="25" t="n">
        <v>3</v>
      </c>
      <c r="C6" s="25" t="n">
        <v>4</v>
      </c>
      <c r="D6" s="24" t="s">
        <v>132</v>
      </c>
    </row>
    <row r="7" customFormat="false" ht="15" hidden="false" customHeight="false" outlineLevel="0" collapsed="false">
      <c r="A7" s="24" t="s">
        <v>133</v>
      </c>
      <c r="B7" s="25" t="n">
        <v>3</v>
      </c>
      <c r="C7" s="25" t="n">
        <v>6</v>
      </c>
      <c r="D7" s="24" t="s">
        <v>134</v>
      </c>
    </row>
    <row r="8" customFormat="false" ht="15" hidden="false" customHeight="false" outlineLevel="0" collapsed="false">
      <c r="A8" s="24" t="s">
        <v>135</v>
      </c>
      <c r="B8" s="25" t="n">
        <v>3</v>
      </c>
      <c r="C8" s="25" t="n">
        <v>3</v>
      </c>
      <c r="D8" s="24" t="s">
        <v>136</v>
      </c>
    </row>
    <row r="9" customFormat="false" ht="15" hidden="false" customHeight="false" outlineLevel="0" collapsed="false">
      <c r="A9" s="24" t="s">
        <v>137</v>
      </c>
      <c r="B9" s="24" t="s">
        <v>138</v>
      </c>
      <c r="C9" s="24" t="s">
        <v>139</v>
      </c>
      <c r="D9" s="24" t="s">
        <v>140</v>
      </c>
    </row>
    <row r="10" customFormat="false" ht="15" hidden="false" customHeight="false" outlineLevel="0" collapsed="false">
      <c r="A10" s="24" t="s">
        <v>141</v>
      </c>
      <c r="B10" s="25" t="n">
        <v>3</v>
      </c>
      <c r="C10" s="25" t="n">
        <v>6</v>
      </c>
      <c r="D10" s="24" t="s">
        <v>142</v>
      </c>
    </row>
    <row r="12" customFormat="false" ht="15" hidden="false" customHeight="false" outlineLevel="0" collapsed="false">
      <c r="A12" s="4" t="s">
        <v>143</v>
      </c>
    </row>
    <row r="13" customFormat="false" ht="15" hidden="false" customHeight="false" outlineLevel="0" collapsed="false">
      <c r="A13" s="5" t="s">
        <v>144</v>
      </c>
    </row>
    <row r="14" customFormat="false" ht="15" hidden="false" customHeight="false" outlineLevel="0" collapsed="false">
      <c r="A14" s="5" t="s">
        <v>145</v>
      </c>
    </row>
    <row r="15" customFormat="false" ht="15" hidden="false" customHeight="false" outlineLevel="0" collapsed="false">
      <c r="A15" s="5" t="s">
        <v>146</v>
      </c>
    </row>
    <row r="16" customFormat="false" ht="15" hidden="false" customHeight="false" outlineLevel="0" collapsed="false">
      <c r="A16" s="5" t="s">
        <v>147</v>
      </c>
    </row>
    <row r="17" customFormat="false" ht="15" hidden="false" customHeight="false" outlineLevel="0" collapsed="false">
      <c r="A17" s="5" t="s">
        <v>148</v>
      </c>
    </row>
    <row r="18" customFormat="false" ht="15" hidden="false" customHeight="false" outlineLevel="0" collapsed="false">
      <c r="A18" s="5" t="s">
        <v>149</v>
      </c>
    </row>
    <row r="20" customFormat="false" ht="15" hidden="false" customHeight="false" outlineLevel="0" collapsed="false">
      <c r="A20" s="4" t="s">
        <v>150</v>
      </c>
    </row>
    <row r="21" customFormat="false" ht="15" hidden="false" customHeight="false" outlineLevel="0" collapsed="false">
      <c r="A21" s="5" t="s">
        <v>151</v>
      </c>
      <c r="D21" s="26" t="s">
        <v>152</v>
      </c>
    </row>
    <row r="22" customFormat="false" ht="15" hidden="false" customHeight="false" outlineLevel="0" collapsed="false">
      <c r="A22" s="5" t="s">
        <v>153</v>
      </c>
      <c r="D22" s="26" t="s">
        <v>154</v>
      </c>
    </row>
    <row r="23" customFormat="false" ht="15" hidden="false" customHeight="false" outlineLevel="0" collapsed="false">
      <c r="A23" s="5" t="s">
        <v>155</v>
      </c>
      <c r="D23" s="26" t="s">
        <v>156</v>
      </c>
    </row>
    <row r="24" customFormat="false" ht="15" hidden="false" customHeight="false" outlineLevel="0" collapsed="false">
      <c r="A24" s="5" t="s">
        <v>157</v>
      </c>
      <c r="D24" s="26" t="s">
        <v>158</v>
      </c>
    </row>
    <row r="25" customFormat="false" ht="15" hidden="false" customHeight="false" outlineLevel="0" collapsed="false">
      <c r="A25" s="5" t="s">
        <v>159</v>
      </c>
      <c r="D25" s="26" t="s">
        <v>160</v>
      </c>
    </row>
    <row r="26" customFormat="false" ht="15" hidden="false" customHeight="false" outlineLevel="0" collapsed="false">
      <c r="A26" s="5" t="s">
        <v>161</v>
      </c>
      <c r="D26" s="26" t="s">
        <v>162</v>
      </c>
    </row>
    <row r="27" customFormat="false" ht="15" hidden="false" customHeight="false" outlineLevel="0" collapsed="false">
      <c r="A27" s="5" t="s">
        <v>163</v>
      </c>
      <c r="D27" s="26" t="s">
        <v>164</v>
      </c>
    </row>
    <row r="28" customFormat="false" ht="15" hidden="false" customHeight="false" outlineLevel="0" collapsed="false">
      <c r="A28" s="5" t="s">
        <v>165</v>
      </c>
      <c r="D28" s="26" t="s">
        <v>166</v>
      </c>
    </row>
    <row r="31" customFormat="false" ht="15" hidden="false" customHeight="false" outlineLevel="0" collapsed="false">
      <c r="A31" s="22" t="s">
        <v>167</v>
      </c>
    </row>
  </sheetData>
  <hyperlinks>
    <hyperlink ref="D21" r:id="rId1" display="https://www.amla.europa.eu/policy/regulatory-instruments_en"/>
    <hyperlink ref="D22" r:id="rId2" display="https://www.amla.europa.eu/policy/public-consultations_en"/>
    <hyperlink ref="D23" r:id="rId3" display="https://eur-lex.europa.eu/legal-content/EN/TXT/?uri=CELEX%3A32024R1624"/>
    <hyperlink ref="D24" r:id="rId4" display="https://eur-lex.europa.eu/legal-content/EN/TXT/?uri=CELEX%3A32024L1640"/>
    <hyperlink ref="D25" r:id="rId5" display="https://eur-lex.europa.eu/legal-content/EN/TXT/?uri=CELEX%3A32024R1620"/>
    <hyperlink ref="D26" r:id="rId6" display="https://finance.ec.europa.eu/financial-crime_en"/>
    <hyperlink ref="D27" r:id="rId7" display="https://www.ebf.eu/ebf-media-centre/updates/ebf-feedback-on-amla-draft-regulatory-technical-standard-on-customer-due-diligence-under-article-281-amlr/"/>
    <hyperlink ref="D28" r:id="rId8" display="https://www.amla.europa.eu/document/download/27549516-d110-4e91-b1ed-d3552b8f9661_en?filename=AMLA%20SPD%202026-2028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2026-07-23T09:25:37Z</dcterms:created>
  <dc:creator>openpyxl</dc:creator>
  <dc:description/>
  <dc:language>en-US</dc:language>
  <cp:lastModifiedBy/>
  <dcterms:modified xsi:type="dcterms:W3CDTF">2026-07-23T09:25:37Z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